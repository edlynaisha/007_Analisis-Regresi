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esktop\SEM 4\ANREG\"/>
    </mc:Choice>
  </mc:AlternateContent>
  <xr:revisionPtr revIDLastSave="0" documentId="13_ncr:1_{43C3AABC-F373-4645-8F56-0ED723202BE7}" xr6:coauthVersionLast="47" xr6:coauthVersionMax="47" xr10:uidLastSave="{00000000-0000-0000-0000-000000000000}"/>
  <bookViews>
    <workbookView xWindow="9510" yWindow="0" windowWidth="9780" windowHeight="11370" activeTab="1" xr2:uid="{00000000-000D-0000-FFFF-FFFF00000000}"/>
  </bookViews>
  <sheets>
    <sheet name="Anreg_edlyn" sheetId="6" r:id="rId1"/>
    <sheet name="Sheet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7" i="6" l="1"/>
  <c r="S126" i="6"/>
  <c r="Q127" i="6"/>
  <c r="T3" i="6"/>
  <c r="S3" i="6"/>
  <c r="Q126" i="6"/>
  <c r="V123" i="6"/>
  <c r="W123" i="6"/>
  <c r="R123" i="6"/>
  <c r="S123" i="6"/>
  <c r="T123" i="6"/>
  <c r="U123" i="6"/>
  <c r="Q12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3" i="6"/>
  <c r="V58" i="6"/>
  <c r="V63" i="6"/>
  <c r="U23" i="6"/>
  <c r="U30" i="6"/>
  <c r="U77" i="6"/>
  <c r="U78" i="6"/>
  <c r="U79" i="6"/>
  <c r="U80" i="6"/>
  <c r="U98" i="6"/>
  <c r="U3" i="6"/>
  <c r="T4" i="6"/>
  <c r="V4" i="6" s="1"/>
  <c r="T5" i="6"/>
  <c r="V5" i="6" s="1"/>
  <c r="T6" i="6"/>
  <c r="V6" i="6" s="1"/>
  <c r="T7" i="6"/>
  <c r="V7" i="6" s="1"/>
  <c r="T8" i="6"/>
  <c r="V8" i="6" s="1"/>
  <c r="T9" i="6"/>
  <c r="V9" i="6" s="1"/>
  <c r="T10" i="6"/>
  <c r="V10" i="6" s="1"/>
  <c r="T23" i="6"/>
  <c r="V23" i="6" s="1"/>
  <c r="T24" i="6"/>
  <c r="V24" i="6" s="1"/>
  <c r="T25" i="6"/>
  <c r="V25" i="6" s="1"/>
  <c r="T38" i="6"/>
  <c r="V38" i="6" s="1"/>
  <c r="T51" i="6"/>
  <c r="V51" i="6" s="1"/>
  <c r="T52" i="6"/>
  <c r="V52" i="6" s="1"/>
  <c r="T53" i="6"/>
  <c r="V53" i="6" s="1"/>
  <c r="T54" i="6"/>
  <c r="V54" i="6" s="1"/>
  <c r="T55" i="6"/>
  <c r="V55" i="6" s="1"/>
  <c r="T56" i="6"/>
  <c r="V56" i="6" s="1"/>
  <c r="T57" i="6"/>
  <c r="V57" i="6" s="1"/>
  <c r="T58" i="6"/>
  <c r="T63" i="6"/>
  <c r="T84" i="6"/>
  <c r="V84" i="6" s="1"/>
  <c r="T85" i="6"/>
  <c r="V85" i="6" s="1"/>
  <c r="T86" i="6"/>
  <c r="V86" i="6" s="1"/>
  <c r="T87" i="6"/>
  <c r="V87" i="6" s="1"/>
  <c r="T88" i="6"/>
  <c r="V88" i="6" s="1"/>
  <c r="T101" i="6"/>
  <c r="V101" i="6" s="1"/>
  <c r="T102" i="6"/>
  <c r="V102" i="6" s="1"/>
  <c r="T103" i="6"/>
  <c r="V103" i="6" s="1"/>
  <c r="T104" i="6"/>
  <c r="V104" i="6" s="1"/>
  <c r="T105" i="6"/>
  <c r="V105" i="6" s="1"/>
  <c r="S8" i="6"/>
  <c r="U8" i="6" s="1"/>
  <c r="S11" i="6"/>
  <c r="U11" i="6" s="1"/>
  <c r="S12" i="6"/>
  <c r="U12" i="6" s="1"/>
  <c r="S13" i="6"/>
  <c r="U13" i="6" s="1"/>
  <c r="S14" i="6"/>
  <c r="U14" i="6" s="1"/>
  <c r="S15" i="6"/>
  <c r="U15" i="6" s="1"/>
  <c r="S16" i="6"/>
  <c r="U16" i="6" s="1"/>
  <c r="S17" i="6"/>
  <c r="U17" i="6" s="1"/>
  <c r="S18" i="6"/>
  <c r="U18" i="6" s="1"/>
  <c r="S19" i="6"/>
  <c r="U19" i="6" s="1"/>
  <c r="S23" i="6"/>
  <c r="S30" i="6"/>
  <c r="S31" i="6"/>
  <c r="U31" i="6" s="1"/>
  <c r="S32" i="6"/>
  <c r="U32" i="6" s="1"/>
  <c r="S33" i="6"/>
  <c r="U33" i="6" s="1"/>
  <c r="S34" i="6"/>
  <c r="U34" i="6" s="1"/>
  <c r="S35" i="6"/>
  <c r="U35" i="6" s="1"/>
  <c r="S39" i="6"/>
  <c r="U39" i="6" s="1"/>
  <c r="S40" i="6"/>
  <c r="U40" i="6" s="1"/>
  <c r="S43" i="6"/>
  <c r="U43" i="6" s="1"/>
  <c r="S44" i="6"/>
  <c r="U44" i="6" s="1"/>
  <c r="S45" i="6"/>
  <c r="U45" i="6" s="1"/>
  <c r="S46" i="6"/>
  <c r="U46" i="6" s="1"/>
  <c r="S51" i="6"/>
  <c r="U51" i="6" s="1"/>
  <c r="S55" i="6"/>
  <c r="U55" i="6" s="1"/>
  <c r="S56" i="6"/>
  <c r="U56" i="6" s="1"/>
  <c r="S59" i="6"/>
  <c r="U59" i="6" s="1"/>
  <c r="S60" i="6"/>
  <c r="U60" i="6" s="1"/>
  <c r="S61" i="6"/>
  <c r="U61" i="6" s="1"/>
  <c r="S62" i="6"/>
  <c r="U62" i="6" s="1"/>
  <c r="S63" i="6"/>
  <c r="U63" i="6" s="1"/>
  <c r="S64" i="6"/>
  <c r="U64" i="6" s="1"/>
  <c r="S65" i="6"/>
  <c r="U65" i="6" s="1"/>
  <c r="S66" i="6"/>
  <c r="U66" i="6" s="1"/>
  <c r="S67" i="6"/>
  <c r="U67" i="6" s="1"/>
  <c r="S77" i="6"/>
  <c r="S78" i="6"/>
  <c r="S79" i="6"/>
  <c r="S80" i="6"/>
  <c r="S81" i="6"/>
  <c r="U81" i="6" s="1"/>
  <c r="S82" i="6"/>
  <c r="U82" i="6" s="1"/>
  <c r="S83" i="6"/>
  <c r="U83" i="6" s="1"/>
  <c r="S87" i="6"/>
  <c r="U87" i="6" s="1"/>
  <c r="S88" i="6"/>
  <c r="U88" i="6" s="1"/>
  <c r="S91" i="6"/>
  <c r="U91" i="6" s="1"/>
  <c r="S92" i="6"/>
  <c r="U92" i="6" s="1"/>
  <c r="S93" i="6"/>
  <c r="U93" i="6" s="1"/>
  <c r="S98" i="6"/>
  <c r="S99" i="6"/>
  <c r="U99" i="6" s="1"/>
  <c r="S103" i="6"/>
  <c r="U103" i="6" s="1"/>
  <c r="S104" i="6"/>
  <c r="U104" i="6" s="1"/>
  <c r="S107" i="6"/>
  <c r="U107" i="6" s="1"/>
  <c r="S108" i="6"/>
  <c r="U108" i="6" s="1"/>
  <c r="S109" i="6"/>
  <c r="U109" i="6" s="1"/>
  <c r="S110" i="6"/>
  <c r="U110" i="6" s="1"/>
  <c r="S111" i="6"/>
  <c r="U111" i="6" s="1"/>
  <c r="S112" i="6"/>
  <c r="U112" i="6" s="1"/>
  <c r="S113" i="6"/>
  <c r="U113" i="6" s="1"/>
  <c r="S114" i="6"/>
  <c r="U114" i="6" s="1"/>
  <c r="R122" i="6"/>
  <c r="S4" i="6" s="1"/>
  <c r="U4" i="6" s="1"/>
  <c r="Q122" i="6"/>
  <c r="T41" i="6" s="1"/>
  <c r="V41" i="6" s="1"/>
  <c r="T83" i="6" l="1"/>
  <c r="V83" i="6" s="1"/>
  <c r="T37" i="6"/>
  <c r="V37" i="6" s="1"/>
  <c r="T116" i="6"/>
  <c r="V116" i="6" s="1"/>
  <c r="T82" i="6"/>
  <c r="V82" i="6" s="1"/>
  <c r="T36" i="6"/>
  <c r="V36" i="6" s="1"/>
  <c r="S97" i="6"/>
  <c r="U97" i="6" s="1"/>
  <c r="S76" i="6"/>
  <c r="U76" i="6" s="1"/>
  <c r="S50" i="6"/>
  <c r="U50" i="6" s="1"/>
  <c r="S29" i="6"/>
  <c r="U29" i="6" s="1"/>
  <c r="T115" i="6"/>
  <c r="V115" i="6" s="1"/>
  <c r="T79" i="6"/>
  <c r="V79" i="6" s="1"/>
  <c r="T35" i="6"/>
  <c r="V35" i="6" s="1"/>
  <c r="S120" i="6"/>
  <c r="U120" i="6" s="1"/>
  <c r="S96" i="6"/>
  <c r="U96" i="6" s="1"/>
  <c r="S75" i="6"/>
  <c r="U75" i="6" s="1"/>
  <c r="S49" i="6"/>
  <c r="U49" i="6" s="1"/>
  <c r="S28" i="6"/>
  <c r="U28" i="6" s="1"/>
  <c r="T114" i="6"/>
  <c r="V114" i="6" s="1"/>
  <c r="T74" i="6"/>
  <c r="V74" i="6" s="1"/>
  <c r="T34" i="6"/>
  <c r="V34" i="6" s="1"/>
  <c r="S119" i="6"/>
  <c r="U119" i="6" s="1"/>
  <c r="S95" i="6"/>
  <c r="U95" i="6" s="1"/>
  <c r="S72" i="6"/>
  <c r="U72" i="6" s="1"/>
  <c r="S48" i="6"/>
  <c r="U48" i="6" s="1"/>
  <c r="S27" i="6"/>
  <c r="U27" i="6" s="1"/>
  <c r="T111" i="6"/>
  <c r="V111" i="6" s="1"/>
  <c r="T73" i="6"/>
  <c r="V73" i="6" s="1"/>
  <c r="T31" i="6"/>
  <c r="V31" i="6" s="1"/>
  <c r="S115" i="6"/>
  <c r="U115" i="6" s="1"/>
  <c r="S94" i="6"/>
  <c r="U94" i="6" s="1"/>
  <c r="S71" i="6"/>
  <c r="U71" i="6" s="1"/>
  <c r="S47" i="6"/>
  <c r="U47" i="6" s="1"/>
  <c r="S24" i="6"/>
  <c r="U24" i="6" s="1"/>
  <c r="T106" i="6"/>
  <c r="V106" i="6" s="1"/>
  <c r="T66" i="6"/>
  <c r="V66" i="6" s="1"/>
  <c r="T26" i="6"/>
  <c r="V26" i="6" s="1"/>
  <c r="V3" i="6"/>
  <c r="T72" i="6"/>
  <c r="V72" i="6" s="1"/>
  <c r="T22" i="6"/>
  <c r="V22" i="6" s="1"/>
  <c r="T121" i="6"/>
  <c r="V121" i="6" s="1"/>
  <c r="T99" i="6"/>
  <c r="V99" i="6" s="1"/>
  <c r="T47" i="6"/>
  <c r="V47" i="6" s="1"/>
  <c r="T98" i="6"/>
  <c r="V98" i="6" s="1"/>
  <c r="T42" i="6"/>
  <c r="V42" i="6" s="1"/>
  <c r="T20" i="6"/>
  <c r="V20" i="6" s="1"/>
  <c r="T69" i="6"/>
  <c r="V69" i="6" s="1"/>
  <c r="T11" i="6"/>
  <c r="V11" i="6" s="1"/>
  <c r="T27" i="6"/>
  <c r="V27" i="6" s="1"/>
  <c r="T43" i="6"/>
  <c r="V43" i="6" s="1"/>
  <c r="T59" i="6"/>
  <c r="V59" i="6" s="1"/>
  <c r="T75" i="6"/>
  <c r="V75" i="6" s="1"/>
  <c r="T91" i="6"/>
  <c r="V91" i="6" s="1"/>
  <c r="T107" i="6"/>
  <c r="V107" i="6" s="1"/>
  <c r="T12" i="6"/>
  <c r="V12" i="6" s="1"/>
  <c r="T28" i="6"/>
  <c r="V28" i="6" s="1"/>
  <c r="T44" i="6"/>
  <c r="V44" i="6" s="1"/>
  <c r="T60" i="6"/>
  <c r="V60" i="6" s="1"/>
  <c r="T76" i="6"/>
  <c r="V76" i="6" s="1"/>
  <c r="T92" i="6"/>
  <c r="V92" i="6" s="1"/>
  <c r="T108" i="6"/>
  <c r="V108" i="6" s="1"/>
  <c r="T13" i="6"/>
  <c r="V13" i="6" s="1"/>
  <c r="T29" i="6"/>
  <c r="V29" i="6" s="1"/>
  <c r="T45" i="6"/>
  <c r="V45" i="6" s="1"/>
  <c r="T61" i="6"/>
  <c r="V61" i="6" s="1"/>
  <c r="T77" i="6"/>
  <c r="V77" i="6" s="1"/>
  <c r="T93" i="6"/>
  <c r="V93" i="6" s="1"/>
  <c r="T109" i="6"/>
  <c r="V109" i="6" s="1"/>
  <c r="T14" i="6"/>
  <c r="V14" i="6" s="1"/>
  <c r="T30" i="6"/>
  <c r="V30" i="6" s="1"/>
  <c r="T46" i="6"/>
  <c r="V46" i="6" s="1"/>
  <c r="T62" i="6"/>
  <c r="V62" i="6" s="1"/>
  <c r="T78" i="6"/>
  <c r="V78" i="6" s="1"/>
  <c r="T94" i="6"/>
  <c r="V94" i="6" s="1"/>
  <c r="T110" i="6"/>
  <c r="V110" i="6" s="1"/>
  <c r="T16" i="6"/>
  <c r="V16" i="6" s="1"/>
  <c r="T32" i="6"/>
  <c r="V32" i="6" s="1"/>
  <c r="T48" i="6"/>
  <c r="V48" i="6" s="1"/>
  <c r="T64" i="6"/>
  <c r="V64" i="6" s="1"/>
  <c r="T80" i="6"/>
  <c r="V80" i="6" s="1"/>
  <c r="T96" i="6"/>
  <c r="V96" i="6" s="1"/>
  <c r="T112" i="6"/>
  <c r="V112" i="6" s="1"/>
  <c r="T17" i="6"/>
  <c r="V17" i="6" s="1"/>
  <c r="T33" i="6"/>
  <c r="V33" i="6" s="1"/>
  <c r="T49" i="6"/>
  <c r="V49" i="6" s="1"/>
  <c r="T65" i="6"/>
  <c r="V65" i="6" s="1"/>
  <c r="T81" i="6"/>
  <c r="V81" i="6" s="1"/>
  <c r="T97" i="6"/>
  <c r="V97" i="6" s="1"/>
  <c r="T113" i="6"/>
  <c r="V113" i="6" s="1"/>
  <c r="T100" i="6"/>
  <c r="V100" i="6" s="1"/>
  <c r="T50" i="6"/>
  <c r="V50" i="6" s="1"/>
  <c r="T71" i="6"/>
  <c r="V71" i="6" s="1"/>
  <c r="T21" i="6"/>
  <c r="V21" i="6" s="1"/>
  <c r="T120" i="6"/>
  <c r="V120" i="6" s="1"/>
  <c r="T70" i="6"/>
  <c r="V70" i="6" s="1"/>
  <c r="T119" i="6"/>
  <c r="V119" i="6" s="1"/>
  <c r="T95" i="6"/>
  <c r="V95" i="6" s="1"/>
  <c r="T19" i="6"/>
  <c r="V19" i="6" s="1"/>
  <c r="T118" i="6"/>
  <c r="V118" i="6" s="1"/>
  <c r="T90" i="6"/>
  <c r="V90" i="6" s="1"/>
  <c r="T68" i="6"/>
  <c r="V68" i="6" s="1"/>
  <c r="T40" i="6"/>
  <c r="V40" i="6" s="1"/>
  <c r="T18" i="6"/>
  <c r="V18" i="6" s="1"/>
  <c r="T117" i="6"/>
  <c r="V117" i="6" s="1"/>
  <c r="T89" i="6"/>
  <c r="V89" i="6" s="1"/>
  <c r="T67" i="6"/>
  <c r="V67" i="6" s="1"/>
  <c r="T39" i="6"/>
  <c r="V39" i="6" s="1"/>
  <c r="T15" i="6"/>
  <c r="V15" i="6" s="1"/>
  <c r="S106" i="6"/>
  <c r="U106" i="6" s="1"/>
  <c r="S90" i="6"/>
  <c r="U90" i="6" s="1"/>
  <c r="S74" i="6"/>
  <c r="U74" i="6" s="1"/>
  <c r="S58" i="6"/>
  <c r="U58" i="6" s="1"/>
  <c r="S42" i="6"/>
  <c r="U42" i="6" s="1"/>
  <c r="S26" i="6"/>
  <c r="U26" i="6" s="1"/>
  <c r="S10" i="6"/>
  <c r="U10" i="6" s="1"/>
  <c r="S121" i="6"/>
  <c r="U121" i="6" s="1"/>
  <c r="S105" i="6"/>
  <c r="U105" i="6" s="1"/>
  <c r="S89" i="6"/>
  <c r="U89" i="6" s="1"/>
  <c r="S73" i="6"/>
  <c r="U73" i="6" s="1"/>
  <c r="S57" i="6"/>
  <c r="U57" i="6" s="1"/>
  <c r="S41" i="6"/>
  <c r="U41" i="6" s="1"/>
  <c r="S25" i="6"/>
  <c r="U25" i="6" s="1"/>
  <c r="S9" i="6"/>
  <c r="U9" i="6" s="1"/>
  <c r="S7" i="6"/>
  <c r="U7" i="6" s="1"/>
  <c r="S118" i="6"/>
  <c r="U118" i="6" s="1"/>
  <c r="S102" i="6"/>
  <c r="U102" i="6" s="1"/>
  <c r="S86" i="6"/>
  <c r="U86" i="6" s="1"/>
  <c r="S70" i="6"/>
  <c r="U70" i="6" s="1"/>
  <c r="S54" i="6"/>
  <c r="U54" i="6" s="1"/>
  <c r="S38" i="6"/>
  <c r="U38" i="6" s="1"/>
  <c r="S22" i="6"/>
  <c r="U22" i="6" s="1"/>
  <c r="S6" i="6"/>
  <c r="U6" i="6" s="1"/>
  <c r="S117" i="6"/>
  <c r="U117" i="6" s="1"/>
  <c r="S101" i="6"/>
  <c r="U101" i="6" s="1"/>
  <c r="S85" i="6"/>
  <c r="U85" i="6" s="1"/>
  <c r="S69" i="6"/>
  <c r="U69" i="6" s="1"/>
  <c r="S53" i="6"/>
  <c r="U53" i="6" s="1"/>
  <c r="S37" i="6"/>
  <c r="U37" i="6" s="1"/>
  <c r="S21" i="6"/>
  <c r="U21" i="6" s="1"/>
  <c r="S5" i="6"/>
  <c r="U5" i="6" s="1"/>
  <c r="S116" i="6"/>
  <c r="U116" i="6" s="1"/>
  <c r="S100" i="6"/>
  <c r="U100" i="6" s="1"/>
  <c r="S84" i="6"/>
  <c r="U84" i="6" s="1"/>
  <c r="S68" i="6"/>
  <c r="U68" i="6" s="1"/>
  <c r="S52" i="6"/>
  <c r="U52" i="6" s="1"/>
  <c r="S36" i="6"/>
  <c r="U36" i="6" s="1"/>
  <c r="S20" i="6"/>
  <c r="U20" i="6" s="1"/>
</calcChain>
</file>

<file path=xl/sharedStrings.xml><?xml version="1.0" encoding="utf-8"?>
<sst xmlns="http://schemas.openxmlformats.org/spreadsheetml/2006/main" count="2411" uniqueCount="1718">
  <si>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</si>
  <si>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</si>
  <si>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</si>
  <si>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</si>
  <si>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</si>
  <si>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</si>
  <si>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</si>
  <si>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</si>
  <si>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</si>
  <si>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</si>
  <si>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</si>
  <si>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</si>
  <si>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</si>
  <si>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</si>
  <si>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</si>
  <si>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</si>
  <si>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</si>
  <si>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</si>
  <si>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</si>
  <si>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</si>
  <si>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</si>
  <si>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</si>
  <si>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</si>
  <si>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</si>
  <si>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</si>
  <si>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</si>
  <si>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</si>
  <si>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</si>
  <si>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</si>
  <si>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</si>
  <si>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</si>
  <si>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</si>
  <si>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</si>
  <si>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</si>
  <si>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</si>
  <si>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</si>
  <si>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</si>
  <si>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</si>
  <si>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</si>
  <si>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</si>
  <si>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</si>
  <si>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</si>
  <si>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</si>
  <si>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</si>
  <si>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</si>
  <si>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</si>
  <si>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</si>
  <si>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</si>
  <si>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</si>
  <si>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</si>
  <si>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</si>
  <si>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</si>
  <si>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</si>
  <si>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</si>
  <si>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</si>
  <si>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</si>
  <si>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</si>
  <si>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</si>
  <si>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</si>
  <si>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</si>
  <si>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</si>
  <si>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</si>
  <si>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</si>
  <si>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</si>
  <si>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</si>
  <si>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</si>
  <si>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</si>
  <si>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</si>
  <si>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</si>
  <si>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</si>
  <si>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</si>
  <si>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</si>
  <si>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</si>
  <si>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</si>
  <si>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</si>
  <si>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</si>
  <si>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</si>
  <si>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</si>
  <si>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</si>
  <si>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</si>
  <si>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</si>
  <si>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</si>
  <si>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</si>
  <si>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</si>
  <si>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</si>
  <si>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</si>
  <si>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</si>
  <si>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</si>
  <si>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</si>
  <si>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</si>
  <si>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</si>
  <si>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</si>
  <si>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</si>
  <si>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</si>
  <si>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</si>
  <si>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</si>
  <si>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</si>
  <si>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</si>
  <si>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</si>
  <si>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</si>
  <si>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</si>
  <si>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</si>
  <si>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</si>
  <si>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</si>
  <si>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</si>
  <si>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</si>
  <si>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</si>
  <si>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</si>
  <si>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</si>
  <si>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</si>
  <si>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</si>
  <si>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</si>
  <si>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</si>
  <si>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</si>
  <si>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</si>
  <si>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</si>
  <si>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</si>
  <si>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</si>
  <si>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</si>
  <si>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</si>
  <si>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</si>
  <si>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</si>
  <si>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</si>
  <si>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</si>
  <si>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</si>
  <si>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</si>
  <si>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</si>
  <si>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</si>
  <si>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</si>
  <si>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</si>
  <si>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</si>
  <si>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</si>
  <si>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</si>
  <si>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</si>
  <si>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</si>
  <si>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</si>
  <si>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</si>
  <si>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</si>
  <si>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</si>
  <si>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</si>
  <si>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</si>
  <si>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</si>
  <si>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</si>
  <si>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</si>
  <si>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</si>
  <si>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</si>
  <si>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</si>
  <si>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</si>
  <si>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</si>
  <si>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</si>
  <si>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</si>
  <si>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</si>
  <si>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</si>
  <si>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</si>
  <si>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</si>
  <si>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</si>
  <si>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</si>
  <si>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</si>
  <si>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</si>
  <si>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</si>
  <si>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</si>
  <si>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</si>
  <si>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</si>
  <si>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</si>
  <si>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</si>
  <si>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</si>
  <si>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</si>
  <si>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</si>
  <si>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</si>
  <si>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</si>
  <si>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</si>
  <si>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</si>
  <si>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</si>
  <si>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</si>
  <si>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</si>
  <si>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</si>
  <si>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</si>
  <si>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</si>
  <si>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</si>
  <si>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</si>
  <si>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</si>
  <si>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</si>
  <si>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</si>
  <si>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</si>
  <si>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</si>
  <si>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</si>
  <si>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</si>
  <si>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</si>
  <si>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</si>
  <si>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</si>
  <si>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</si>
  <si>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</si>
  <si>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</si>
  <si>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</si>
  <si>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</si>
  <si>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</si>
  <si>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</si>
  <si>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</si>
  <si>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</si>
  <si>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</si>
  <si>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</si>
  <si>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</si>
  <si>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</si>
  <si>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</si>
  <si>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</si>
  <si>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</si>
  <si>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</si>
  <si>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</si>
  <si>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</si>
  <si>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</si>
  <si>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</si>
  <si>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</si>
  <si>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</si>
  <si>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</si>
  <si>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</si>
  <si>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</si>
  <si>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</si>
  <si>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</si>
  <si>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</si>
  <si>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</si>
  <si>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</si>
  <si>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</si>
  <si>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</si>
  <si>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</si>
  <si>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</si>
  <si>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</si>
  <si>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</si>
  <si>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</si>
  <si>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</si>
  <si>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</si>
  <si>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</si>
  <si>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</si>
  <si>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</si>
  <si>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</si>
  <si>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</si>
  <si>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</si>
  <si>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</si>
  <si>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</si>
  <si>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</si>
  <si>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</si>
  <si>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</si>
  <si>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</si>
  <si>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</si>
  <si>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</si>
  <si>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</si>
  <si>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</si>
  <si>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</si>
  <si>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</si>
  <si>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</si>
  <si>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</si>
  <si>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</si>
  <si>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</si>
  <si>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</si>
  <si>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</si>
  <si>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</si>
  <si>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</si>
  <si>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</si>
  <si>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</si>
  <si>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</si>
  <si>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</si>
  <si>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</si>
  <si>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</si>
  <si>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</si>
  <si>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</si>
  <si>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</si>
  <si>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</si>
  <si>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</si>
  <si>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</si>
  <si>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</si>
  <si>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</si>
  <si>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</si>
  <si>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</si>
  <si>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</si>
  <si>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</si>
  <si>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</si>
  <si>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</si>
  <si>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</si>
  <si>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</si>
  <si>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</si>
  <si>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</si>
  <si>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</si>
  <si>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</si>
  <si>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</si>
  <si>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</si>
  <si>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</si>
  <si>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</si>
  <si>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</si>
  <si>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</si>
  <si>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</si>
  <si>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</si>
  <si>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</si>
  <si>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</si>
  <si>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</si>
  <si>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</si>
  <si>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</si>
  <si>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</si>
  <si>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</si>
  <si>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</si>
  <si>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</si>
  <si>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</si>
  <si>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</si>
  <si>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</si>
  <si>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</si>
  <si>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</si>
  <si>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</si>
  <si>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</si>
  <si>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</si>
  <si>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</si>
  <si>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</si>
  <si>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</si>
  <si>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</si>
  <si>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</si>
  <si>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</si>
  <si>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</si>
  <si>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</si>
  <si>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</si>
  <si>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</si>
  <si>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</si>
  <si>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</si>
  <si>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</si>
  <si>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</si>
  <si>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</si>
  <si>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</si>
  <si>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</si>
  <si>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</si>
  <si>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</si>
  <si>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</si>
  <si>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</si>
  <si>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</si>
  <si>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</si>
  <si>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</si>
  <si>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</si>
  <si>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</si>
  <si>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</si>
  <si>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</si>
  <si>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</si>
  <si>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</si>
  <si>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</si>
  <si>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</si>
  <si>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</si>
  <si>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</si>
  <si>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</si>
  <si>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</si>
  <si>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</si>
  <si>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</si>
  <si>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</si>
  <si>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</si>
  <si>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</si>
  <si>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</si>
  <si>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</si>
  <si>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</si>
  <si>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</si>
  <si>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</si>
  <si>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</si>
  <si>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</si>
  <si>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</si>
  <si>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</si>
  <si>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</si>
  <si>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</si>
  <si>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</si>
  <si>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</si>
  <si>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</si>
  <si>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</si>
  <si>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</si>
  <si>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</si>
  <si>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</si>
  <si>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</si>
  <si>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</si>
  <si>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</si>
  <si>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</si>
  <si>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</si>
  <si>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</si>
  <si>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</si>
  <si>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</si>
  <si>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</si>
  <si>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</si>
  <si>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</si>
  <si>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</si>
  <si>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</si>
  <si>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</si>
  <si>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</si>
  <si>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</si>
  <si>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</si>
  <si>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</si>
  <si>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</si>
  <si>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</si>
  <si>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</si>
  <si>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</si>
  <si>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</si>
  <si>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</si>
  <si>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</si>
  <si>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</si>
  <si>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</si>
  <si>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</si>
  <si>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</si>
  <si>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</si>
  <si>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</si>
  <si>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</si>
  <si>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</si>
  <si>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</si>
  <si>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</si>
  <si>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</si>
  <si>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</si>
  <si>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</si>
  <si>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</si>
  <si>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</si>
  <si>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</si>
  <si>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</si>
  <si>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</si>
  <si>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</si>
  <si>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</si>
  <si>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</si>
  <si>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</si>
  <si>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</si>
  <si>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</si>
  <si>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</si>
  <si>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</si>
  <si>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</si>
  <si>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</si>
  <si>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</si>
  <si>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</si>
  <si>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</si>
  <si>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</si>
  <si>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</si>
  <si>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</si>
  <si>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</si>
  <si>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</si>
  <si>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</si>
  <si>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</si>
  <si>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</si>
  <si>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</si>
  <si>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</si>
  <si>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</si>
  <si>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</si>
  <si>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</si>
  <si>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</si>
  <si>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</si>
  <si>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</si>
  <si>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</si>
  <si>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</si>
  <si>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</si>
  <si>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</si>
  <si>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</si>
  <si>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</si>
  <si>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</si>
  <si>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</si>
  <si>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</si>
  <si>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</si>
  <si>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</si>
  <si>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</si>
  <si>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</si>
  <si>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</si>
  <si>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</si>
  <si>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</si>
  <si>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</si>
  <si>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</si>
  <si>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</si>
  <si>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</si>
  <si>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</si>
  <si>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</si>
  <si>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</si>
  <si>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</si>
  <si>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</si>
  <si>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</si>
  <si>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</si>
  <si>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</si>
  <si>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</si>
  <si>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</si>
  <si>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</si>
  <si>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</si>
  <si>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</si>
  <si>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</si>
  <si>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</si>
  <si>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</si>
  <si>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</si>
  <si>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</si>
  <si>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</si>
  <si>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</si>
  <si>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</si>
  <si>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</si>
  <si>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</si>
  <si>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</si>
  <si>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</si>
  <si>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</si>
  <si>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</si>
  <si>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</si>
  <si>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</si>
  <si>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</si>
  <si>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</si>
  <si>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</si>
  <si>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</si>
  <si>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</si>
  <si>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</si>
  <si>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</si>
  <si>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</si>
  <si>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</si>
  <si>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</si>
  <si>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</si>
  <si>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</si>
  <si>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</si>
  <si>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</si>
  <si>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</si>
  <si>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</si>
  <si>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</si>
  <si>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</si>
  <si>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</si>
  <si>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</si>
  <si>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</si>
  <si>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</si>
  <si>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</si>
  <si>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</si>
  <si>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</si>
  <si>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</si>
  <si>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</si>
  <si>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</si>
  <si>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</si>
  <si>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</si>
  <si>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</si>
  <si>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</si>
  <si>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</si>
  <si>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</si>
  <si>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</si>
  <si>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</si>
  <si>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</si>
  <si>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</si>
  <si>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</si>
  <si>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</si>
  <si>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</si>
  <si>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</si>
  <si>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</si>
  <si>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</si>
  <si>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</si>
  <si>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</si>
  <si>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</si>
  <si>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</si>
  <si>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</si>
  <si>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</si>
  <si>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</si>
  <si>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</si>
  <si>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</si>
  <si>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</si>
  <si>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</si>
  <si>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</si>
  <si>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</si>
  <si>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</si>
  <si>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</si>
  <si>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</si>
  <si>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</si>
  <si>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</si>
  <si>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</si>
  <si>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</si>
  <si>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</si>
  <si>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</si>
  <si>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</si>
  <si>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</si>
  <si>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</si>
  <si>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</si>
  <si>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</si>
  <si>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</si>
  <si>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</si>
  <si>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</si>
  <si>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</si>
  <si>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</si>
  <si>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</si>
  <si>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</si>
  <si>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</si>
  <si>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</si>
  <si>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</si>
  <si>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</si>
  <si>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</si>
  <si>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</si>
  <si>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</si>
  <si>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</si>
  <si>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</si>
  <si>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</si>
  <si>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</si>
  <si>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</si>
  <si>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</si>
  <si>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</si>
  <si>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</si>
  <si>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</si>
  <si>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</si>
  <si>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</si>
  <si>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</si>
  <si>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</si>
  <si>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</si>
  <si>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</si>
  <si>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</si>
  <si>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</si>
  <si>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</si>
  <si>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</si>
  <si>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</si>
  <si>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</si>
  <si>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</si>
  <si>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</si>
  <si>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</si>
  <si>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</si>
  <si>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</si>
  <si>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</si>
  <si>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</si>
  <si>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</si>
  <si>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</si>
  <si>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</si>
  <si>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</si>
  <si>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</si>
  <si>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</si>
  <si>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</si>
  <si>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</si>
  <si>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</si>
  <si>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</si>
  <si>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</si>
  <si>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</si>
  <si>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</si>
  <si>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</si>
  <si>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</si>
  <si>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</si>
  <si>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</si>
  <si>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</si>
  <si>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</si>
  <si>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</si>
  <si>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</si>
  <si>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</si>
  <si>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</si>
  <si>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</si>
  <si>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</si>
  <si>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</si>
  <si>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</si>
  <si>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</si>
  <si>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</si>
  <si>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</si>
  <si>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</si>
  <si>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</si>
  <si>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</si>
  <si>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</si>
  <si>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</si>
  <si>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</si>
  <si>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</si>
  <si>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</si>
  <si>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</si>
  <si>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</si>
  <si>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</si>
  <si>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</si>
  <si>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</si>
  <si>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</si>
  <si>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</si>
  <si>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</si>
  <si>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</si>
  <si>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</si>
  <si>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</si>
  <si>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</si>
  <si>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</si>
  <si>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</si>
  <si>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</si>
  <si>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</si>
  <si>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</si>
  <si>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</si>
  <si>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</si>
  <si>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</si>
  <si>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</si>
  <si>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</si>
  <si>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</si>
  <si>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</si>
  <si>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</si>
  <si>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</si>
  <si>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</si>
  <si>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</si>
  <si>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</si>
  <si>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</si>
  <si>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</si>
  <si>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</si>
  <si>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</si>
  <si>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</si>
  <si>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</si>
  <si>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</si>
  <si>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</si>
  <si>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</si>
  <si>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</si>
  <si>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</si>
  <si>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</si>
  <si>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</si>
  <si>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</si>
  <si>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</si>
  <si>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</si>
  <si>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</si>
  <si>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</si>
  <si>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</si>
  <si>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</si>
  <si>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</si>
  <si>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</si>
  <si>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</si>
  <si>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</si>
  <si>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</si>
  <si>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</si>
  <si>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</si>
  <si>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</si>
  <si>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</si>
  <si>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</si>
  <si>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</si>
  <si>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</si>
  <si>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</si>
  <si>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</si>
  <si>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</si>
  <si>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</si>
  <si>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</si>
  <si>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</si>
  <si>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</si>
  <si>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</si>
  <si>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</si>
  <si>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</si>
  <si>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</si>
  <si>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</si>
  <si>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</si>
  <si>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</si>
  <si>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</si>
  <si>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</si>
  <si>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</si>
  <si>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</si>
  <si>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</si>
  <si>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</si>
  <si>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</si>
  <si>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</si>
  <si>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</si>
  <si>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</si>
  <si>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</si>
  <si>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</si>
  <si>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</si>
  <si>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</si>
  <si>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</si>
  <si>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</si>
  <si>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</si>
  <si>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</si>
  <si>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</si>
  <si>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</si>
  <si>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</si>
  <si>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</si>
  <si>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</si>
  <si>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</si>
  <si>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</si>
  <si>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</si>
  <si>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</si>
  <si>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</si>
  <si>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</si>
  <si>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</si>
  <si>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</si>
  <si>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</si>
  <si>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</si>
  <si>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</si>
  <si>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</si>
  <si>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</si>
  <si>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</si>
  <si>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</si>
  <si>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</si>
  <si>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</si>
  <si>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</si>
  <si>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</si>
  <si>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</si>
  <si>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</si>
  <si>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</si>
  <si>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</si>
  <si>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</si>
  <si>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</si>
  <si>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</si>
  <si>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</si>
  <si>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</si>
  <si>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</si>
  <si>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</si>
  <si>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</si>
  <si>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</si>
  <si>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</si>
  <si>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</si>
  <si>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</si>
  <si>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</si>
  <si>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</si>
  <si>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</si>
  <si>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</si>
  <si>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</si>
  <si>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</si>
  <si>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</si>
  <si>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</si>
  <si>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</si>
  <si>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</si>
  <si>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</si>
  <si>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</si>
  <si>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</si>
  <si>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</si>
  <si>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</si>
  <si>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</si>
  <si>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</si>
  <si>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</si>
  <si>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</si>
  <si>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</si>
  <si>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</si>
  <si>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</si>
  <si>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</si>
  <si>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</si>
  <si>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</si>
  <si>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</si>
  <si>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</si>
  <si>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</si>
  <si>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</si>
  <si>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</si>
  <si>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</si>
  <si>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</si>
  <si>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</si>
  <si>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</si>
  <si>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</si>
  <si>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</si>
  <si>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</si>
  <si>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</si>
  <si>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</si>
  <si>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</si>
  <si>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</si>
  <si>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</si>
  <si>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</si>
  <si>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</si>
  <si>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</si>
  <si>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</si>
  <si>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</si>
  <si>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</si>
  <si>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</si>
  <si>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</si>
  <si>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</si>
  <si>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</si>
  <si>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</si>
  <si>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</si>
  <si>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</si>
  <si>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</si>
  <si>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</si>
  <si>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</si>
  <si>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</si>
  <si>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</si>
  <si>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</si>
  <si>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</si>
  <si>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</si>
  <si>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</si>
  <si>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</si>
  <si>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</si>
  <si>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</si>
  <si>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</si>
  <si>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</si>
  <si>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</si>
  <si>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</si>
  <si>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</si>
  <si>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</si>
  <si>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</si>
  <si>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</si>
  <si>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</si>
  <si>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</si>
  <si>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</si>
  <si>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</si>
  <si>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</si>
  <si>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</si>
  <si>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</si>
  <si>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</si>
  <si>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</si>
  <si>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</si>
  <si>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</si>
  <si>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</si>
  <si>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</si>
  <si>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</si>
  <si>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</si>
  <si>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</si>
  <si>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</si>
  <si>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</si>
  <si>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</si>
  <si>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</si>
  <si>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</si>
  <si>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</si>
  <si>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</si>
  <si>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</si>
  <si>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</si>
  <si>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</si>
  <si>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</si>
  <si>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</si>
  <si>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</si>
  <si>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</si>
  <si>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</si>
  <si>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</si>
  <si>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</si>
  <si>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</si>
  <si>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</si>
  <si>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</si>
  <si>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</si>
  <si>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</si>
  <si>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</si>
  <si>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</si>
  <si>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</si>
  <si>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</si>
  <si>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</si>
  <si>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</si>
  <si>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</si>
  <si>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</si>
  <si>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</si>
  <si>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</si>
  <si>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</si>
  <si>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</si>
  <si>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</si>
  <si>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</si>
  <si>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</si>
  <si>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</si>
  <si>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</si>
  <si>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</si>
  <si>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</si>
  <si>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</si>
  <si>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</si>
  <si>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</si>
  <si>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</si>
  <si>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</si>
  <si>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</si>
  <si>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</si>
  <si>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</si>
  <si>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</si>
  <si>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</si>
  <si>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</si>
  <si>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</si>
  <si>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</si>
  <si>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</si>
  <si>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</si>
  <si>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</si>
  <si>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</si>
  <si>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</si>
  <si>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</si>
  <si>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</si>
  <si>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</si>
  <si>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</si>
  <si>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</si>
  <si>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</si>
  <si>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</si>
  <si>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</si>
  <si>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</si>
  <si>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</si>
  <si>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</si>
  <si>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</si>
  <si>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</si>
  <si>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</si>
  <si>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</si>
  <si>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</si>
  <si>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</si>
  <si>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</si>
  <si>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</si>
  <si>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</si>
  <si>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</si>
  <si>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</si>
  <si>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</si>
  <si>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</si>
  <si>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</si>
  <si>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</si>
  <si>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</si>
  <si>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</si>
  <si>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</si>
  <si>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</si>
  <si>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</si>
  <si>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</si>
  <si>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</si>
  <si>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</si>
  <si>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</si>
  <si>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</si>
  <si>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</si>
  <si>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</si>
  <si>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</si>
  <si>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</si>
  <si>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</si>
  <si>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</si>
  <si>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</si>
  <si>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</si>
  <si>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</si>
  <si>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</si>
  <si>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</si>
  <si>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</si>
  <si>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</si>
  <si>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</si>
  <si>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</si>
  <si>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</si>
  <si>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</si>
  <si>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</si>
  <si>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</si>
  <si>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</si>
  <si>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</si>
  <si>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</si>
  <si>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</si>
  <si>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</si>
  <si>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</si>
  <si>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</si>
  <si>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</si>
  <si>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</si>
  <si>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</si>
  <si>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</si>
  <si>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</si>
  <si>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</si>
  <si>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</si>
  <si>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</si>
  <si>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</si>
  <si>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</si>
  <si>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</si>
  <si>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</si>
  <si>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</si>
  <si>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</si>
  <si>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</si>
  <si>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</si>
  <si>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</si>
  <si>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</si>
  <si>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</si>
  <si>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</si>
  <si>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</si>
  <si>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</si>
  <si>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</si>
  <si>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</si>
  <si>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</si>
  <si>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</si>
  <si>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</si>
  <si>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</si>
  <si>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</si>
  <si>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</si>
  <si>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</si>
  <si>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</si>
  <si>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</si>
  <si>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</si>
  <si>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</si>
  <si>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</si>
  <si>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</si>
  <si>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</si>
  <si>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</si>
  <si>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</si>
  <si>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</si>
  <si>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</si>
  <si>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</si>
  <si>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</si>
  <si>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</si>
  <si>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</si>
  <si>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</si>
  <si>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</si>
  <si>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</si>
  <si>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</si>
  <si>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</si>
  <si>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</si>
  <si>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</si>
  <si>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</si>
  <si>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</si>
  <si>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</si>
  <si>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</si>
  <si>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</si>
  <si>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</si>
  <si>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</si>
  <si>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</si>
  <si>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</si>
  <si>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</si>
  <si>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</si>
  <si>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</si>
  <si>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</si>
  <si>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</si>
  <si>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</si>
  <si>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</si>
  <si>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</si>
  <si>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</si>
  <si>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</si>
  <si>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</si>
  <si>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</si>
  <si>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</si>
  <si>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</si>
  <si>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</si>
  <si>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</si>
  <si>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</si>
  <si>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</si>
  <si>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</si>
  <si>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</si>
  <si>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</si>
  <si>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</si>
  <si>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</si>
  <si>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</si>
  <si>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</si>
  <si>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</si>
  <si>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</si>
  <si>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</si>
  <si>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</si>
  <si>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</si>
  <si>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</si>
  <si>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</si>
  <si>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</si>
  <si>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</si>
  <si>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</si>
  <si>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</si>
  <si>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</si>
  <si>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</si>
  <si>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</si>
  <si>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</si>
  <si>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</si>
  <si>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</si>
  <si>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</si>
  <si>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</si>
  <si>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</si>
  <si>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</si>
  <si>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</si>
  <si>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</si>
  <si>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</si>
  <si>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</si>
  <si>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</si>
  <si>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</si>
  <si>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</si>
  <si>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</si>
  <si>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</si>
  <si>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</si>
  <si>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</si>
  <si>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</si>
  <si>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</si>
  <si>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</si>
  <si>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</si>
  <si>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</si>
  <si>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</si>
  <si>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</si>
  <si>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</si>
  <si>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</si>
  <si>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</si>
  <si>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</si>
  <si>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</si>
  <si>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</si>
  <si>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</si>
  <si>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</si>
  <si>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</si>
  <si>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</si>
  <si>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</si>
  <si>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</si>
  <si>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</si>
  <si>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</si>
  <si>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</si>
  <si>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</si>
  <si>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</si>
  <si>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</si>
  <si>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</si>
  <si>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</si>
  <si>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</si>
  <si>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</si>
  <si>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</si>
  <si>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</si>
  <si>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</si>
  <si>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</si>
  <si>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</si>
  <si>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</si>
  <si>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</si>
  <si>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</si>
  <si>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</si>
  <si>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</si>
  <si>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</si>
  <si>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</si>
  <si>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</si>
  <si>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</si>
  <si>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</si>
  <si>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</si>
  <si>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</si>
  <si>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</si>
  <si>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</si>
  <si>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</si>
  <si>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</si>
  <si>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</si>
  <si>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</si>
  <si>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</si>
  <si>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</si>
  <si>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</si>
  <si>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</si>
  <si>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</si>
  <si>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</si>
  <si>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</si>
  <si>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</si>
  <si>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</si>
  <si>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</si>
  <si>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</si>
  <si>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</si>
  <si>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</si>
  <si>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</si>
  <si>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</si>
  <si>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</si>
  <si>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</si>
  <si>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</si>
  <si>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</si>
  <si>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</si>
  <si>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</si>
  <si>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</si>
  <si>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</si>
  <si>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</si>
  <si>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</si>
  <si>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</si>
  <si>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</si>
  <si>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</si>
  <si>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</si>
  <si>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</si>
  <si>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</si>
  <si>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</si>
  <si>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</si>
  <si>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</si>
  <si>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</si>
  <si>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</si>
  <si>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</si>
  <si>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</si>
  <si>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</si>
  <si>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</si>
  <si>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</si>
  <si>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</si>
  <si>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</si>
  <si>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</si>
  <si>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</si>
  <si>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</si>
  <si>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</si>
  <si>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</si>
  <si>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</si>
  <si>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</si>
  <si>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</si>
  <si>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</si>
  <si>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</si>
  <si>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</si>
  <si>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</si>
  <si>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</si>
  <si>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</si>
  <si>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</si>
  <si>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</si>
  <si>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</si>
  <si>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</si>
  <si>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</si>
  <si>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</si>
  <si>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</si>
  <si>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</si>
  <si>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</si>
  <si>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</si>
  <si>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</si>
  <si>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</si>
  <si>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</si>
  <si>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</si>
  <si>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</si>
  <si>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</si>
  <si>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</si>
  <si>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</si>
  <si>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</si>
  <si>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</si>
  <si>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</si>
  <si>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</si>
  <si>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</si>
  <si>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</si>
  <si>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</si>
  <si>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</si>
  <si>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</si>
  <si>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</si>
  <si>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</si>
  <si>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</si>
  <si>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</si>
  <si>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</si>
  <si>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</si>
  <si>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</si>
  <si>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</si>
  <si>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</si>
  <si>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</si>
  <si>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</si>
  <si>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</si>
  <si>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</si>
  <si>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</si>
  <si>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</si>
  <si>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</si>
  <si>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</si>
  <si>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</si>
  <si>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</si>
  <si>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</si>
  <si>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</si>
  <si>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</si>
  <si>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</si>
  <si>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</si>
  <si>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</si>
  <si>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</si>
  <si>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</si>
  <si>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</si>
  <si>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</si>
  <si>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</si>
  <si>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</si>
  <si>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</si>
  <si>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</si>
  <si>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</si>
  <si>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</si>
  <si>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</si>
  <si>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</si>
  <si>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</si>
  <si>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</si>
  <si>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</si>
  <si>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</si>
  <si>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</si>
  <si>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</si>
  <si>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</si>
  <si>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</si>
  <si>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</si>
  <si>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</si>
  <si>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</si>
  <si>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</si>
  <si>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</si>
  <si>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</si>
  <si>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</si>
  <si>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</si>
  <si>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</si>
  <si>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</si>
  <si>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</si>
  <si>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</si>
  <si>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</si>
  <si>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</si>
  <si>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</si>
  <si>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</si>
  <si>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</si>
  <si>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</si>
  <si>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</si>
  <si>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</si>
  <si>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</si>
  <si>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</si>
  <si>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</si>
  <si>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</si>
  <si>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</si>
  <si>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</si>
  <si>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</si>
  <si>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</si>
  <si>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</si>
  <si>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</si>
  <si>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</si>
  <si>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</si>
  <si>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</si>
  <si>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</si>
  <si>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</si>
  <si>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</si>
  <si>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</si>
  <si>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</si>
  <si>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</si>
  <si>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</si>
  <si>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</si>
  <si>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</si>
  <si>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</si>
  <si>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</si>
  <si>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</si>
  <si>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</si>
  <si>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</si>
  <si>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</si>
  <si>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</si>
  <si>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</si>
  <si>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</si>
  <si>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</si>
  <si>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</si>
  <si>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</si>
  <si>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</si>
  <si>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</si>
  <si>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</si>
  <si>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</si>
  <si>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</si>
  <si>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</si>
  <si>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</si>
  <si>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</si>
  <si>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</si>
  <si>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</si>
  <si>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</si>
  <si>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</si>
  <si>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</si>
  <si>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</si>
  <si>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</si>
  <si>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</si>
  <si>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</si>
  <si>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</si>
  <si>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</si>
  <si>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</si>
  <si>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</si>
  <si>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</si>
  <si>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</si>
  <si>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</si>
  <si>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</si>
  <si>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</si>
  <si>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</si>
  <si>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</si>
  <si>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</si>
  <si>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</si>
  <si>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</si>
  <si>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</si>
  <si>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</si>
  <si>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</si>
  <si>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</si>
  <si>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</si>
  <si>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</si>
  <si>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</si>
  <si>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</si>
  <si>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</si>
  <si>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</si>
  <si>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</si>
  <si>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</si>
  <si>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</si>
  <si>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</si>
  <si>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</si>
  <si>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</si>
  <si>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</si>
  <si>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</si>
  <si>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</si>
  <si>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</si>
  <si>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</si>
  <si>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</si>
  <si>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</si>
  <si>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</si>
  <si>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</si>
  <si>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</si>
  <si>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</si>
  <si>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</si>
  <si>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</si>
  <si>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</si>
  <si>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</si>
  <si>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</si>
  <si>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</si>
  <si>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</si>
  <si>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</si>
  <si>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</si>
  <si>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</si>
  <si>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</si>
  <si>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</si>
  <si>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</si>
  <si>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</si>
  <si>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</si>
  <si>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</si>
  <si>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</si>
  <si>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</si>
  <si>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</si>
  <si>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</si>
  <si>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</si>
  <si>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</si>
  <si>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</si>
  <si>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</si>
  <si>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</si>
  <si>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</si>
  <si>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</si>
  <si>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</si>
  <si>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</si>
  <si>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</si>
  <si>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</si>
  <si>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</si>
  <si>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</si>
  <si>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</si>
  <si>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</si>
  <si>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</si>
  <si>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</si>
  <si>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</si>
  <si>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</si>
  <si>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</si>
  <si>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</si>
  <si>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</si>
  <si>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</si>
  <si>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</si>
  <si>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</si>
  <si>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</si>
  <si>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</si>
  <si>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</si>
  <si>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</si>
  <si>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</si>
  <si>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</si>
  <si>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</si>
  <si>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</si>
  <si>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</si>
  <si>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</si>
  <si>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</si>
  <si>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</si>
  <si>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</si>
  <si>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</si>
  <si>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</si>
  <si>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</si>
  <si>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</si>
  <si>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</si>
  <si>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</si>
  <si>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</si>
  <si>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</si>
  <si>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</si>
  <si>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</si>
  <si>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</si>
  <si>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</si>
  <si>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</si>
  <si>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</si>
  <si>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</si>
  <si>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</si>
  <si>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</si>
  <si>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</si>
  <si>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</si>
  <si>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</si>
  <si>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</si>
  <si>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</si>
  <si>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</si>
  <si>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</si>
  <si>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</si>
  <si>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</si>
  <si>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</si>
  <si>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</si>
  <si>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</si>
  <si>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</si>
  <si>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</si>
  <si>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</si>
  <si>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</si>
  <si>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</si>
  <si>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</si>
  <si>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</si>
  <si>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</si>
  <si>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</si>
  <si>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</si>
  <si>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</si>
  <si>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</si>
  <si>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</si>
  <si>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</si>
  <si>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</si>
  <si>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</si>
  <si>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</si>
  <si>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</si>
  <si>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</si>
  <si>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</si>
  <si>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</si>
  <si>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</si>
  <si>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</si>
  <si>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</si>
  <si>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</si>
  <si>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</si>
  <si>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</si>
  <si>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</si>
  <si>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</si>
  <si>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</si>
  <si>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</si>
  <si>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</si>
  <si>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</si>
  <si>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</si>
  <si>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</si>
  <si>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</si>
  <si>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</si>
  <si>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</si>
  <si>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</si>
  <si>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</si>
  <si>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</si>
  <si>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</si>
  <si>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</si>
  <si>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</si>
  <si>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</si>
  <si>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</si>
  <si>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</si>
  <si>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</si>
  <si>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</si>
  <si>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</si>
  <si>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</si>
  <si>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</si>
  <si>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</si>
  <si>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</si>
  <si>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</si>
  <si>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</si>
  <si>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</si>
  <si>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</si>
  <si>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</si>
  <si>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</si>
  <si>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</si>
  <si>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</si>
  <si>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</si>
  <si>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</si>
  <si>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</si>
  <si>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</si>
  <si>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</si>
  <si>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</si>
  <si>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</si>
  <si>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</si>
  <si>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</si>
  <si>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</si>
  <si>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</si>
  <si>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</si>
  <si>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</si>
  <si>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</si>
  <si>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</si>
  <si>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</si>
  <si>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</si>
  <si>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</si>
  <si>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</si>
  <si>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</si>
  <si>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</si>
  <si>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</si>
  <si>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</si>
  <si>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</si>
  <si>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</si>
  <si>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</si>
  <si>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</si>
  <si>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</si>
  <si>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</si>
  <si>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</si>
  <si>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</si>
  <si>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</si>
  <si>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</si>
  <si>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</si>
  <si>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</si>
  <si>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</si>
  <si>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</si>
  <si>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</si>
  <si>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</si>
  <si>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</si>
  <si>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</si>
  <si>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</si>
  <si>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</si>
  <si>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</si>
  <si>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</si>
  <si>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</si>
  <si>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</si>
  <si>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</si>
  <si>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</si>
  <si>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</si>
  <si>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</si>
  <si>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</si>
  <si>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</si>
  <si>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</si>
  <si>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</si>
  <si>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</si>
  <si>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</si>
  <si>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</si>
  <si>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</si>
  <si>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</si>
  <si>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</si>
  <si>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</si>
  <si>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</si>
  <si>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</si>
  <si>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</si>
  <si>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</si>
  <si>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</si>
  <si>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</si>
  <si>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</si>
  <si>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</si>
  <si>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</si>
  <si>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</si>
  <si>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</si>
  <si>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</si>
  <si>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</si>
  <si>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</si>
  <si>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</si>
  <si>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</si>
  <si>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</si>
  <si>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</si>
  <si>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</si>
  <si>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</si>
  <si>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</si>
  <si>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</si>
  <si>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</si>
  <si>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</si>
  <si>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</si>
  <si>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</si>
  <si>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</si>
  <si>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</si>
  <si>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</si>
  <si>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</si>
  <si>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</si>
  <si>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</si>
  <si>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</si>
  <si>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</si>
  <si>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</si>
  <si>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</si>
  <si>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</si>
  <si>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</si>
  <si>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</si>
  <si>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</si>
  <si>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</si>
  <si>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</si>
  <si>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</si>
  <si>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</si>
  <si>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</si>
  <si>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</si>
  <si>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</si>
  <si>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</si>
  <si>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</si>
  <si>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</si>
  <si>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</si>
  <si>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</si>
  <si>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</si>
  <si>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</si>
  <si>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</si>
  <si>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</si>
  <si>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</si>
  <si>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</si>
  <si>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</si>
  <si>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</si>
  <si>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</si>
  <si>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</si>
  <si>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</si>
  <si>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</si>
  <si>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</si>
  <si>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</si>
  <si>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</si>
  <si>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</si>
  <si>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</si>
  <si>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</si>
  <si>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</si>
  <si>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</si>
  <si>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</si>
  <si>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</si>
  <si>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</si>
  <si>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</si>
  <si>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</si>
  <si>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</si>
  <si>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</si>
  <si>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</si>
  <si>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</si>
  <si>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</si>
  <si>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</si>
  <si>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</si>
  <si>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</si>
  <si>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</si>
  <si>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</si>
  <si>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</si>
  <si>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</si>
  <si>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</si>
  <si>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</si>
  <si>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</si>
  <si>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</si>
  <si>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</si>
  <si>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</si>
  <si>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</si>
  <si>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</si>
  <si>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</si>
  <si>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</si>
  <si>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Y</t>
  </si>
  <si>
    <t>X</t>
  </si>
  <si>
    <t>rata2</t>
  </si>
  <si>
    <t>x-x bar</t>
  </si>
  <si>
    <t>y - y bar</t>
  </si>
  <si>
    <t xml:space="preserve">x-xbar kuadrat </t>
  </si>
  <si>
    <t>Y-YBAR KUADRAT</t>
  </si>
  <si>
    <t>TOTAL</t>
  </si>
  <si>
    <t>B1</t>
  </si>
  <si>
    <t>B0</t>
  </si>
  <si>
    <t xml:space="preserve">intercept </t>
  </si>
  <si>
    <t>slope</t>
  </si>
  <si>
    <t>(x-xbar)(y-ybar)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</si>
</sst>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7" xfId="0" applyFont="1" applyBorder="1" applyAlignment="1">
      <alignment horizontal="center" wrapText="1"/>
    </xf>
    <xf numFmtId="0" fontId="0" fillId="7" borderId="0" xfId="0" applyFill="1" applyAlignment="1">
      <alignment wrapText="1"/>
    </xf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0" fillId="0" borderId="0" xfId="0" applyFill="1" applyAlignment="1">
      <alignment wrapText="1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W127"/>
  <sheetViews>
    <sheetView zoomScale="94" workbookViewId="0">
      <selection activeCell="F1" sqref="F1"/>
    </sheetView>
  </sheetViews>
  <sheetFormatPr defaultRowHeight="12.5" x14ac:dyDescent="0.25"/>
  <cols>
    <col min="1" max="1" width="29.81640625" style="14" customWidth="1"/>
    <col min="2" max="3" width="8.81640625" style="14" bestFit="1" customWidth="1"/>
    <col min="4" max="4" width="9.90625" style="14" bestFit="1" customWidth="1"/>
    <col min="5" max="11" width="8.81640625" style="14" bestFit="1" customWidth="1"/>
    <col min="12" max="15" width="8.7265625" style="14"/>
    <col min="16" max="16" width="20.36328125" style="14" bestFit="1" customWidth="1"/>
    <col min="17" max="17" width="14.26953125" style="14" customWidth="1"/>
    <col min="18" max="18" width="11.6328125" style="14" customWidth="1"/>
    <col min="19" max="20" width="13.81640625" style="14" bestFit="1" customWidth="1"/>
    <col min="21" max="22" width="13.26953125" style="14" bestFit="1" customWidth="1"/>
    <col min="23" max="23" width="13.81640625" style="14" bestFit="1" customWidth="1"/>
    <col min="24" max="16384" width="8.7265625" style="14"/>
  </cols>
  <sheetData>
    <row r="1" spans="1:23" ht="13.15" customHeight="1" x14ac:dyDescent="0.3">
      <c r="A1" s="12" t="s">
        <v>1</v>
      </c>
      <c r="B1" s="10" t="s">
        <v>2</v>
      </c>
      <c r="C1" s="13" t="s">
        <v>3</v>
      </c>
      <c r="D1" s="10" t="s">
        <v>4</v>
      </c>
      <c r="E1" s="11" t="s">
        <v>5</v>
      </c>
      <c r="F1" s="10" t="s">
        <v>6</v>
      </c>
      <c r="G1" s="11" t="s">
        <v>7</v>
      </c>
      <c r="H1" s="10" t="s">
        <v>8</v>
      </c>
      <c r="I1" s="11" t="s">
        <v>9</v>
      </c>
      <c r="J1" s="11" t="s">
        <v>11</v>
      </c>
      <c r="K1" s="10" t="s">
        <v>12</v>
      </c>
      <c r="Q1" s="14" t="s">
        <v>1705</v>
      </c>
      <c r="R1" s="14" t="s">
        <v>1706</v>
      </c>
    </row>
    <row r="2" spans="1:23" ht="39" x14ac:dyDescent="0.3">
      <c r="A2" s="15" t="s">
        <v>588</v>
      </c>
      <c r="B2" s="15">
        <v>76.69</v>
      </c>
      <c r="C2" s="15">
        <v>9.26</v>
      </c>
      <c r="D2" s="15">
        <v>3268.5</v>
      </c>
      <c r="E2" s="15">
        <v>13.03</v>
      </c>
      <c r="F2" s="15">
        <v>89.1</v>
      </c>
      <c r="G2" s="15">
        <v>4.0599999999999996</v>
      </c>
      <c r="H2" s="15">
        <v>0.37</v>
      </c>
      <c r="I2" s="15">
        <v>93.62</v>
      </c>
      <c r="J2" s="15">
        <v>72.58</v>
      </c>
      <c r="K2" s="15">
        <v>7.93</v>
      </c>
      <c r="P2" s="12" t="s">
        <v>1</v>
      </c>
      <c r="Q2" s="10" t="s">
        <v>2</v>
      </c>
      <c r="R2" s="13" t="s">
        <v>3</v>
      </c>
      <c r="S2" s="16" t="s">
        <v>1708</v>
      </c>
      <c r="T2" s="16" t="s">
        <v>1709</v>
      </c>
      <c r="U2" s="16" t="s">
        <v>1710</v>
      </c>
      <c r="V2" s="16" t="s">
        <v>1711</v>
      </c>
      <c r="W2" s="16" t="s">
        <v>1717</v>
      </c>
    </row>
    <row r="3" spans="1:23" x14ac:dyDescent="0.25">
      <c r="A3" s="15" t="s">
        <v>591</v>
      </c>
      <c r="B3" s="15">
        <v>87.57</v>
      </c>
      <c r="C3" s="15">
        <v>11.95</v>
      </c>
      <c r="D3" s="15">
        <v>500422.7</v>
      </c>
      <c r="E3" s="15">
        <v>3.03</v>
      </c>
      <c r="F3" s="15">
        <v>92.61</v>
      </c>
      <c r="G3" s="15">
        <v>1.38</v>
      </c>
      <c r="H3" s="15">
        <v>3.74</v>
      </c>
      <c r="I3" s="15">
        <v>97.3</v>
      </c>
      <c r="J3" s="15">
        <v>64.81</v>
      </c>
      <c r="K3" s="15">
        <v>5.22</v>
      </c>
      <c r="P3" s="15" t="s">
        <v>588</v>
      </c>
      <c r="Q3" s="15">
        <v>76.69</v>
      </c>
      <c r="R3" s="15">
        <v>9.26</v>
      </c>
      <c r="S3" s="14">
        <f>(R3-$R$122)</f>
        <v>0.42764705882353304</v>
      </c>
      <c r="T3" s="14">
        <f>(Q3-$Q$122)</f>
        <v>0.94386554621844709</v>
      </c>
      <c r="U3" s="14">
        <f>S3^2</f>
        <v>0.18288200692041834</v>
      </c>
      <c r="V3" s="14">
        <f>T3^2</f>
        <v>0.89088216933824749</v>
      </c>
      <c r="W3" s="14">
        <f>S3*T3</f>
        <v>0.40364132476518638</v>
      </c>
    </row>
    <row r="4" spans="1:23" x14ac:dyDescent="0.25">
      <c r="A4" s="15" t="s">
        <v>594</v>
      </c>
      <c r="B4" s="15">
        <v>84.76</v>
      </c>
      <c r="C4" s="15">
        <v>11.99</v>
      </c>
      <c r="D4" s="15">
        <v>362068.1</v>
      </c>
      <c r="E4" s="15">
        <v>4.09</v>
      </c>
      <c r="F4" s="15">
        <v>97.15</v>
      </c>
      <c r="G4" s="15">
        <v>26.73</v>
      </c>
      <c r="H4" s="15">
        <v>2.13</v>
      </c>
      <c r="I4" s="15">
        <v>95.9</v>
      </c>
      <c r="J4" s="15">
        <v>64.489999999999995</v>
      </c>
      <c r="K4" s="15">
        <v>6.95</v>
      </c>
      <c r="P4" s="15" t="s">
        <v>591</v>
      </c>
      <c r="Q4" s="15">
        <v>87.57</v>
      </c>
      <c r="R4" s="15">
        <v>11.95</v>
      </c>
      <c r="S4" s="14">
        <f t="shared" ref="S4:S67" si="0">(R4-$R$122)</f>
        <v>3.1176470588235325</v>
      </c>
      <c r="T4" s="14">
        <f t="shared" ref="T4:T67" si="1">(Q4-$Q$122)</f>
        <v>11.823865546218443</v>
      </c>
      <c r="U4" s="14">
        <f t="shared" ref="U4:U67" si="2">S4^2</f>
        <v>9.7197231833910234</v>
      </c>
      <c r="V4" s="14">
        <f t="shared" ref="V4:V67" si="3">T4^2</f>
        <v>139.80379645505155</v>
      </c>
      <c r="W4" s="14">
        <f t="shared" ref="W4:W67" si="4">S4*T4</f>
        <v>36.86263964409283</v>
      </c>
    </row>
    <row r="5" spans="1:23" x14ac:dyDescent="0.25">
      <c r="A5" s="15" t="s">
        <v>598</v>
      </c>
      <c r="B5" s="15">
        <v>83.75</v>
      </c>
      <c r="C5" s="15">
        <v>11.61</v>
      </c>
      <c r="D5" s="15">
        <v>532606.9</v>
      </c>
      <c r="E5" s="15">
        <v>4.63</v>
      </c>
      <c r="F5" s="15">
        <v>90.3</v>
      </c>
      <c r="G5" s="15">
        <v>0.84</v>
      </c>
      <c r="H5" s="15">
        <v>0.01</v>
      </c>
      <c r="I5" s="15">
        <v>96.24</v>
      </c>
      <c r="J5" s="15">
        <v>65.12</v>
      </c>
      <c r="K5" s="15">
        <v>6.24</v>
      </c>
      <c r="P5" s="15" t="s">
        <v>594</v>
      </c>
      <c r="Q5" s="15">
        <v>84.76</v>
      </c>
      <c r="R5" s="15">
        <v>11.99</v>
      </c>
      <c r="S5" s="14">
        <f t="shared" si="0"/>
        <v>3.1576470588235335</v>
      </c>
      <c r="T5" s="14">
        <f t="shared" si="1"/>
        <v>9.0138655462184545</v>
      </c>
      <c r="U5" s="14">
        <f t="shared" si="2"/>
        <v>9.9707349480969114</v>
      </c>
      <c r="V5" s="14">
        <f t="shared" si="3"/>
        <v>81.249772085304116</v>
      </c>
      <c r="W5" s="14">
        <f t="shared" si="4"/>
        <v>28.462606030647486</v>
      </c>
    </row>
    <row r="6" spans="1:23" x14ac:dyDescent="0.25">
      <c r="A6" s="15" t="s">
        <v>602</v>
      </c>
      <c r="B6" s="15">
        <v>84.4</v>
      </c>
      <c r="C6" s="15">
        <v>11.24</v>
      </c>
      <c r="D6" s="15">
        <v>383113.1</v>
      </c>
      <c r="E6" s="15">
        <v>3.94</v>
      </c>
      <c r="F6" s="15">
        <v>94.94</v>
      </c>
      <c r="G6" s="15">
        <v>5.3</v>
      </c>
      <c r="H6" s="15">
        <v>2.16</v>
      </c>
      <c r="I6" s="15">
        <v>95.66</v>
      </c>
      <c r="J6" s="15">
        <v>64.12</v>
      </c>
      <c r="K6" s="15">
        <v>6.18</v>
      </c>
      <c r="P6" s="15" t="s">
        <v>598</v>
      </c>
      <c r="Q6" s="15">
        <v>83.75</v>
      </c>
      <c r="R6" s="15">
        <v>11.61</v>
      </c>
      <c r="S6" s="14">
        <f t="shared" si="0"/>
        <v>2.7776470588235327</v>
      </c>
      <c r="T6" s="14">
        <f t="shared" si="1"/>
        <v>8.0038655462184494</v>
      </c>
      <c r="U6" s="14">
        <f t="shared" si="2"/>
        <v>7.7153231833910221</v>
      </c>
      <c r="V6" s="14">
        <f t="shared" si="3"/>
        <v>64.061863681942754</v>
      </c>
      <c r="W6" s="14">
        <f t="shared" si="4"/>
        <v>22.231913593672683</v>
      </c>
    </row>
    <row r="7" spans="1:23" x14ac:dyDescent="0.25">
      <c r="A7" s="15" t="s">
        <v>606</v>
      </c>
      <c r="B7" s="15">
        <v>82.13</v>
      </c>
      <c r="C7" s="15">
        <v>10.85</v>
      </c>
      <c r="D7" s="15">
        <v>380461.1</v>
      </c>
      <c r="E7" s="15">
        <v>6.44</v>
      </c>
      <c r="F7" s="15">
        <v>91.39</v>
      </c>
      <c r="G7" s="15">
        <v>30.31</v>
      </c>
      <c r="H7" s="15">
        <v>0.52</v>
      </c>
      <c r="I7" s="15">
        <v>94.43</v>
      </c>
      <c r="J7" s="15">
        <v>67.77</v>
      </c>
      <c r="K7" s="15">
        <v>6.18</v>
      </c>
      <c r="P7" s="15" t="s">
        <v>602</v>
      </c>
      <c r="Q7" s="15">
        <v>84.4</v>
      </c>
      <c r="R7" s="15">
        <v>11.24</v>
      </c>
      <c r="S7" s="14">
        <f t="shared" si="0"/>
        <v>2.4076470588235335</v>
      </c>
      <c r="T7" s="14">
        <f t="shared" si="1"/>
        <v>8.6538655462184551</v>
      </c>
      <c r="U7" s="14">
        <f t="shared" si="2"/>
        <v>5.7967643598616112</v>
      </c>
      <c r="V7" s="14">
        <f t="shared" si="3"/>
        <v>74.889388892026844</v>
      </c>
      <c r="W7" s="14">
        <f t="shared" si="4"/>
        <v>20.835453929807173</v>
      </c>
    </row>
    <row r="8" spans="1:23" x14ac:dyDescent="0.25">
      <c r="A8" s="15" t="s">
        <v>611</v>
      </c>
      <c r="B8" s="15">
        <v>73.63</v>
      </c>
      <c r="C8" s="15">
        <v>8.89</v>
      </c>
      <c r="D8" s="15">
        <v>185882.34</v>
      </c>
      <c r="E8" s="15">
        <v>7.05</v>
      </c>
      <c r="F8" s="15">
        <v>67.180000000000007</v>
      </c>
      <c r="G8" s="15">
        <v>51.65</v>
      </c>
      <c r="H8" s="15">
        <v>3.94</v>
      </c>
      <c r="I8" s="15">
        <v>90.98</v>
      </c>
      <c r="J8" s="15">
        <v>66.3</v>
      </c>
      <c r="K8" s="15">
        <v>7.34</v>
      </c>
      <c r="P8" s="15" t="s">
        <v>606</v>
      </c>
      <c r="Q8" s="15">
        <v>82.13</v>
      </c>
      <c r="R8" s="15">
        <v>10.85</v>
      </c>
      <c r="S8" s="14">
        <f t="shared" si="0"/>
        <v>2.0176470588235329</v>
      </c>
      <c r="T8" s="14">
        <f t="shared" si="1"/>
        <v>6.3838655462184448</v>
      </c>
      <c r="U8" s="14">
        <f t="shared" si="2"/>
        <v>4.0708996539792528</v>
      </c>
      <c r="V8" s="14">
        <f t="shared" si="3"/>
        <v>40.753739312194924</v>
      </c>
      <c r="W8" s="14">
        <f t="shared" si="4"/>
        <v>12.880387543252532</v>
      </c>
    </row>
    <row r="9" spans="1:23" x14ac:dyDescent="0.25">
      <c r="A9" s="15" t="s">
        <v>615</v>
      </c>
      <c r="B9" s="15">
        <v>70.180000000000007</v>
      </c>
      <c r="C9" s="15">
        <v>7.75</v>
      </c>
      <c r="D9" s="15">
        <v>55723.92</v>
      </c>
      <c r="E9" s="15">
        <v>6.87</v>
      </c>
      <c r="F9" s="15">
        <v>51.9</v>
      </c>
      <c r="G9" s="15">
        <v>17.13</v>
      </c>
      <c r="H9" s="15">
        <v>7.72</v>
      </c>
      <c r="I9" s="15">
        <v>89.38</v>
      </c>
      <c r="J9" s="15">
        <v>69.75</v>
      </c>
      <c r="K9" s="15">
        <v>7.11</v>
      </c>
      <c r="P9" s="15" t="s">
        <v>611</v>
      </c>
      <c r="Q9" s="15">
        <v>73.63</v>
      </c>
      <c r="R9" s="15">
        <v>8.89</v>
      </c>
      <c r="S9" s="14">
        <f t="shared" si="0"/>
        <v>5.7647058823533825E-2</v>
      </c>
      <c r="T9" s="14">
        <f t="shared" si="1"/>
        <v>-2.1161344537815552</v>
      </c>
      <c r="U9" s="14">
        <f t="shared" si="2"/>
        <v>3.3231833910039692E-3</v>
      </c>
      <c r="V9" s="14">
        <f t="shared" si="3"/>
        <v>4.4780250264813608</v>
      </c>
      <c r="W9" s="14">
        <f t="shared" si="4"/>
        <v>-0.12198892733565193</v>
      </c>
    </row>
    <row r="10" spans="1:23" x14ac:dyDescent="0.25">
      <c r="A10" s="15" t="s">
        <v>619</v>
      </c>
      <c r="B10" s="15">
        <v>68.89</v>
      </c>
      <c r="C10" s="15">
        <v>7.91</v>
      </c>
      <c r="D10" s="15">
        <v>38208.18</v>
      </c>
      <c r="E10" s="15">
        <v>10.14</v>
      </c>
      <c r="F10" s="15">
        <v>63.3</v>
      </c>
      <c r="G10" s="15">
        <v>7.29</v>
      </c>
      <c r="H10" s="15">
        <v>5.48</v>
      </c>
      <c r="I10" s="15">
        <v>86.22</v>
      </c>
      <c r="J10" s="15">
        <v>72.63</v>
      </c>
      <c r="K10" s="15">
        <v>5.99</v>
      </c>
      <c r="P10" s="15" t="s">
        <v>615</v>
      </c>
      <c r="Q10" s="15">
        <v>70.180000000000007</v>
      </c>
      <c r="R10" s="15">
        <v>7.75</v>
      </c>
      <c r="S10" s="14">
        <f t="shared" si="0"/>
        <v>-1.0823529411764667</v>
      </c>
      <c r="T10" s="14">
        <f t="shared" si="1"/>
        <v>-5.5661344537815438</v>
      </c>
      <c r="U10" s="14">
        <f t="shared" si="2"/>
        <v>1.171487889273348</v>
      </c>
      <c r="V10" s="14">
        <f t="shared" si="3"/>
        <v>30.981852757573964</v>
      </c>
      <c r="W10" s="14">
        <f t="shared" si="4"/>
        <v>6.0245219970341202</v>
      </c>
    </row>
    <row r="11" spans="1:23" x14ac:dyDescent="0.25">
      <c r="A11" s="15" t="s">
        <v>621</v>
      </c>
      <c r="B11" s="15">
        <v>74.59</v>
      </c>
      <c r="C11" s="15">
        <v>9.4499999999999993</v>
      </c>
      <c r="D11" s="15">
        <v>97509.91</v>
      </c>
      <c r="E11" s="15">
        <v>6.19</v>
      </c>
      <c r="F11" s="15">
        <v>69.12</v>
      </c>
      <c r="G11" s="15">
        <v>52.91</v>
      </c>
      <c r="H11" s="15">
        <v>6.21</v>
      </c>
      <c r="I11" s="15">
        <v>95.1</v>
      </c>
      <c r="J11" s="15">
        <v>67.22</v>
      </c>
      <c r="K11" s="15">
        <v>6.36</v>
      </c>
      <c r="P11" s="15" t="s">
        <v>619</v>
      </c>
      <c r="Q11" s="15">
        <v>68.89</v>
      </c>
      <c r="R11" s="15">
        <v>7.91</v>
      </c>
      <c r="S11" s="14">
        <f t="shared" si="0"/>
        <v>-0.9223529411764666</v>
      </c>
      <c r="T11" s="14">
        <f t="shared" si="1"/>
        <v>-6.8561344537815501</v>
      </c>
      <c r="U11" s="14">
        <f t="shared" si="2"/>
        <v>0.85073494809687844</v>
      </c>
      <c r="V11" s="14">
        <f t="shared" si="3"/>
        <v>47.006579648330437</v>
      </c>
      <c r="W11" s="14">
        <f t="shared" si="4"/>
        <v>6.3237757785467199</v>
      </c>
    </row>
    <row r="12" spans="1:23" x14ac:dyDescent="0.25">
      <c r="A12" s="15" t="s">
        <v>625</v>
      </c>
      <c r="B12" s="15">
        <v>69.91</v>
      </c>
      <c r="C12" s="15">
        <v>8.31</v>
      </c>
      <c r="D12" s="15">
        <v>46270.92</v>
      </c>
      <c r="E12" s="15">
        <v>9.68</v>
      </c>
      <c r="F12" s="15">
        <v>49.99</v>
      </c>
      <c r="G12" s="15">
        <v>9.44</v>
      </c>
      <c r="H12" s="15">
        <v>9.4499999999999993</v>
      </c>
      <c r="I12" s="15">
        <v>84.24</v>
      </c>
      <c r="J12" s="15">
        <v>71.34</v>
      </c>
      <c r="K12" s="15">
        <v>6.96</v>
      </c>
      <c r="P12" s="15" t="s">
        <v>621</v>
      </c>
      <c r="Q12" s="15">
        <v>74.59</v>
      </c>
      <c r="R12" s="15">
        <v>9.4499999999999993</v>
      </c>
      <c r="S12" s="14">
        <f t="shared" si="0"/>
        <v>0.61764705882353255</v>
      </c>
      <c r="T12" s="14">
        <f t="shared" si="1"/>
        <v>-1.1561344537815472</v>
      </c>
      <c r="U12" s="14">
        <f t="shared" si="2"/>
        <v>0.38148788927336025</v>
      </c>
      <c r="V12" s="14">
        <f t="shared" si="3"/>
        <v>1.3366468752207565</v>
      </c>
      <c r="W12" s="14">
        <f t="shared" si="4"/>
        <v>-0.71408304498272401</v>
      </c>
    </row>
    <row r="13" spans="1:23" x14ac:dyDescent="0.25">
      <c r="A13" s="15" t="s">
        <v>629</v>
      </c>
      <c r="B13" s="15">
        <v>69.98</v>
      </c>
      <c r="C13" s="15">
        <v>8.32</v>
      </c>
      <c r="D13" s="15">
        <v>28879.68</v>
      </c>
      <c r="E13" s="15">
        <v>10.23</v>
      </c>
      <c r="F13" s="15">
        <v>54.68</v>
      </c>
      <c r="G13" s="15">
        <v>8.33</v>
      </c>
      <c r="H13" s="15">
        <v>9.57</v>
      </c>
      <c r="I13" s="15">
        <v>87.64</v>
      </c>
      <c r="J13" s="15">
        <v>68.760000000000005</v>
      </c>
      <c r="K13" s="15">
        <v>3.74</v>
      </c>
      <c r="P13" s="15" t="s">
        <v>625</v>
      </c>
      <c r="Q13" s="15">
        <v>69.91</v>
      </c>
      <c r="R13" s="15">
        <v>8.31</v>
      </c>
      <c r="S13" s="14">
        <f t="shared" si="0"/>
        <v>-0.52235294117646625</v>
      </c>
      <c r="T13" s="14">
        <f t="shared" si="1"/>
        <v>-5.836134453781554</v>
      </c>
      <c r="U13" s="14">
        <f t="shared" si="2"/>
        <v>0.27285259515570481</v>
      </c>
      <c r="V13" s="14">
        <f t="shared" si="3"/>
        <v>34.060465362616121</v>
      </c>
      <c r="W13" s="14">
        <f t="shared" si="4"/>
        <v>3.0485219970341042</v>
      </c>
    </row>
    <row r="14" spans="1:23" x14ac:dyDescent="0.25">
      <c r="A14" s="15" t="s">
        <v>631</v>
      </c>
      <c r="B14" s="15">
        <v>73.64</v>
      </c>
      <c r="C14" s="15">
        <v>8.33</v>
      </c>
      <c r="D14" s="15">
        <v>26360.94</v>
      </c>
      <c r="E14" s="15">
        <v>7.39</v>
      </c>
      <c r="F14" s="15">
        <v>77.12</v>
      </c>
      <c r="G14" s="15">
        <v>7.29</v>
      </c>
      <c r="H14" s="15">
        <v>3.27</v>
      </c>
      <c r="I14" s="15">
        <v>88.29</v>
      </c>
      <c r="J14" s="15">
        <v>68.14</v>
      </c>
      <c r="K14" s="15">
        <v>3.37</v>
      </c>
      <c r="P14" s="15" t="s">
        <v>629</v>
      </c>
      <c r="Q14" s="15">
        <v>69.98</v>
      </c>
      <c r="R14" s="15">
        <v>8.32</v>
      </c>
      <c r="S14" s="14">
        <f t="shared" si="0"/>
        <v>-0.51235294117646646</v>
      </c>
      <c r="T14" s="14">
        <f t="shared" si="1"/>
        <v>-5.7661344537815467</v>
      </c>
      <c r="U14" s="14">
        <f t="shared" si="2"/>
        <v>0.26250553633217572</v>
      </c>
      <c r="V14" s="14">
        <f t="shared" si="3"/>
        <v>33.248306539086613</v>
      </c>
      <c r="W14" s="14">
        <f t="shared" si="4"/>
        <v>2.9542959466139331</v>
      </c>
    </row>
    <row r="15" spans="1:23" x14ac:dyDescent="0.25">
      <c r="A15" s="15" t="s">
        <v>634</v>
      </c>
      <c r="B15" s="15">
        <v>71.56</v>
      </c>
      <c r="C15" s="15">
        <v>8.18</v>
      </c>
      <c r="D15" s="15">
        <v>20507.27</v>
      </c>
      <c r="E15" s="15">
        <v>11.88</v>
      </c>
      <c r="F15" s="15">
        <v>84.64</v>
      </c>
      <c r="G15" s="15">
        <v>2.27</v>
      </c>
      <c r="H15" s="15">
        <v>5.83</v>
      </c>
      <c r="I15" s="15">
        <v>88</v>
      </c>
      <c r="J15" s="15">
        <v>65.84</v>
      </c>
      <c r="K15" s="15">
        <v>7.78</v>
      </c>
      <c r="P15" s="15" t="s">
        <v>631</v>
      </c>
      <c r="Q15" s="15">
        <v>73.64</v>
      </c>
      <c r="R15" s="15">
        <v>8.33</v>
      </c>
      <c r="S15" s="14">
        <f t="shared" si="0"/>
        <v>-0.50235294117646667</v>
      </c>
      <c r="T15" s="14">
        <f t="shared" si="1"/>
        <v>-2.1061344537815501</v>
      </c>
      <c r="U15" s="14">
        <f t="shared" si="2"/>
        <v>0.25235847750864659</v>
      </c>
      <c r="V15" s="14">
        <f t="shared" si="3"/>
        <v>4.4358023374057085</v>
      </c>
      <c r="W15" s="14">
        <f t="shared" si="4"/>
        <v>1.0580228373702527</v>
      </c>
    </row>
    <row r="16" spans="1:23" x14ac:dyDescent="0.25">
      <c r="A16" s="15" t="s">
        <v>637</v>
      </c>
      <c r="B16" s="15">
        <v>72.3</v>
      </c>
      <c r="C16" s="15">
        <v>8.06</v>
      </c>
      <c r="D16" s="15">
        <v>39418.269999999997</v>
      </c>
      <c r="E16" s="15">
        <v>11</v>
      </c>
      <c r="F16" s="15">
        <v>87.92</v>
      </c>
      <c r="G16" s="15">
        <v>20.49</v>
      </c>
      <c r="H16" s="15">
        <v>5.87</v>
      </c>
      <c r="I16" s="15">
        <v>85.43</v>
      </c>
      <c r="J16" s="15">
        <v>69.27</v>
      </c>
      <c r="K16" s="15">
        <v>6.74</v>
      </c>
      <c r="P16" s="15" t="s">
        <v>634</v>
      </c>
      <c r="Q16" s="15">
        <v>71.56</v>
      </c>
      <c r="R16" s="15">
        <v>8.18</v>
      </c>
      <c r="S16" s="14">
        <f t="shared" si="0"/>
        <v>-0.65235294117646703</v>
      </c>
      <c r="T16" s="14">
        <f t="shared" si="1"/>
        <v>-4.1861344537815484</v>
      </c>
      <c r="U16" s="14">
        <f t="shared" si="2"/>
        <v>0.42556435986158703</v>
      </c>
      <c r="V16" s="14">
        <f t="shared" si="3"/>
        <v>17.523721665136943</v>
      </c>
      <c r="W16" s="14">
        <f t="shared" si="4"/>
        <v>2.7308371230845365</v>
      </c>
    </row>
    <row r="17" spans="1:23" x14ac:dyDescent="0.25">
      <c r="A17" s="15" t="s">
        <v>641</v>
      </c>
      <c r="B17" s="15">
        <v>71.37</v>
      </c>
      <c r="C17" s="15">
        <v>7.99</v>
      </c>
      <c r="D17" s="15">
        <v>27438.93</v>
      </c>
      <c r="E17" s="15">
        <v>10.82</v>
      </c>
      <c r="F17" s="15">
        <v>83.61</v>
      </c>
      <c r="G17" s="15">
        <v>25.94</v>
      </c>
      <c r="H17" s="15">
        <v>9.02</v>
      </c>
      <c r="I17" s="15">
        <v>87.98</v>
      </c>
      <c r="J17" s="15">
        <v>69.64</v>
      </c>
      <c r="K17" s="15">
        <v>4.01</v>
      </c>
      <c r="P17" s="15" t="s">
        <v>637</v>
      </c>
      <c r="Q17" s="15">
        <v>72.3</v>
      </c>
      <c r="R17" s="15">
        <v>8.06</v>
      </c>
      <c r="S17" s="14">
        <f t="shared" si="0"/>
        <v>-0.77235294117646625</v>
      </c>
      <c r="T17" s="14">
        <f t="shared" si="1"/>
        <v>-3.4461344537815535</v>
      </c>
      <c r="U17" s="14">
        <f t="shared" si="2"/>
        <v>0.59652906574393794</v>
      </c>
      <c r="V17" s="14">
        <f t="shared" si="3"/>
        <v>11.875842673540285</v>
      </c>
      <c r="W17" s="14">
        <f t="shared" si="4"/>
        <v>2.6616320810677379</v>
      </c>
    </row>
    <row r="18" spans="1:23" x14ac:dyDescent="0.25">
      <c r="A18" s="15" t="s">
        <v>644</v>
      </c>
      <c r="B18" s="15">
        <v>74.569999999999993</v>
      </c>
      <c r="C18" s="15">
        <v>8.86</v>
      </c>
      <c r="D18" s="15">
        <v>27965.759999999998</v>
      </c>
      <c r="E18" s="15">
        <v>9.1</v>
      </c>
      <c r="F18" s="15">
        <v>77.319999999999993</v>
      </c>
      <c r="G18" s="15">
        <v>19.32</v>
      </c>
      <c r="H18" s="15">
        <v>-1.1299999999999999</v>
      </c>
      <c r="I18" s="15">
        <v>96.22</v>
      </c>
      <c r="J18" s="15">
        <v>69.239999999999995</v>
      </c>
      <c r="K18" s="15">
        <v>6.16</v>
      </c>
      <c r="P18" s="15" t="s">
        <v>641</v>
      </c>
      <c r="Q18" s="15">
        <v>71.37</v>
      </c>
      <c r="R18" s="15">
        <v>7.99</v>
      </c>
      <c r="S18" s="14">
        <f t="shared" si="0"/>
        <v>-0.84235294117646653</v>
      </c>
      <c r="T18" s="14">
        <f t="shared" si="1"/>
        <v>-4.3761344537815461</v>
      </c>
      <c r="U18" s="14">
        <f t="shared" si="2"/>
        <v>0.70955847750864365</v>
      </c>
      <c r="V18" s="14">
        <f t="shared" si="3"/>
        <v>19.150552757573912</v>
      </c>
      <c r="W18" s="14">
        <f t="shared" si="4"/>
        <v>3.6862497281265552</v>
      </c>
    </row>
    <row r="19" spans="1:23" x14ac:dyDescent="0.25">
      <c r="A19" s="15" t="s">
        <v>647</v>
      </c>
      <c r="B19" s="15">
        <v>70.72</v>
      </c>
      <c r="C19" s="15">
        <v>7.45</v>
      </c>
      <c r="D19" s="15">
        <v>68701.960000000006</v>
      </c>
      <c r="E19" s="15">
        <v>11.93</v>
      </c>
      <c r="F19" s="15">
        <v>97.27</v>
      </c>
      <c r="G19" s="15">
        <v>43.89</v>
      </c>
      <c r="H19" s="15">
        <v>0</v>
      </c>
      <c r="I19" s="15">
        <v>89.78</v>
      </c>
      <c r="J19" s="15">
        <v>66.430000000000007</v>
      </c>
      <c r="K19" s="15">
        <v>6.25</v>
      </c>
      <c r="P19" s="15" t="s">
        <v>644</v>
      </c>
      <c r="Q19" s="15">
        <v>74.569999999999993</v>
      </c>
      <c r="R19" s="15">
        <v>8.86</v>
      </c>
      <c r="S19" s="14">
        <f t="shared" si="0"/>
        <v>2.7647058823532689E-2</v>
      </c>
      <c r="T19" s="14">
        <f t="shared" si="1"/>
        <v>-1.1761344537815575</v>
      </c>
      <c r="U19" s="14">
        <f t="shared" si="2"/>
        <v>7.6435986159187667E-4</v>
      </c>
      <c r="V19" s="14">
        <f t="shared" si="3"/>
        <v>1.3832922533720424</v>
      </c>
      <c r="W19" s="14">
        <f t="shared" si="4"/>
        <v>-3.2516658428082205E-2</v>
      </c>
    </row>
    <row r="20" spans="1:23" x14ac:dyDescent="0.25">
      <c r="A20" s="15" t="s">
        <v>651</v>
      </c>
      <c r="B20" s="15">
        <v>72.05</v>
      </c>
      <c r="C20" s="15">
        <v>7.88</v>
      </c>
      <c r="D20" s="15">
        <v>33126.46</v>
      </c>
      <c r="E20" s="15">
        <v>9.49</v>
      </c>
      <c r="F20" s="15">
        <v>90.29</v>
      </c>
      <c r="G20" s="15">
        <v>12.76</v>
      </c>
      <c r="H20" s="15">
        <v>4.8600000000000003</v>
      </c>
      <c r="I20" s="15">
        <v>92.11</v>
      </c>
      <c r="J20" s="15">
        <v>71.709999999999994</v>
      </c>
      <c r="K20" s="15">
        <v>6.73</v>
      </c>
      <c r="P20" s="15" t="s">
        <v>647</v>
      </c>
      <c r="Q20" s="15">
        <v>70.72</v>
      </c>
      <c r="R20" s="15">
        <v>7.45</v>
      </c>
      <c r="S20" s="14">
        <f t="shared" si="0"/>
        <v>-1.3823529411764666</v>
      </c>
      <c r="T20" s="14">
        <f t="shared" si="1"/>
        <v>-5.0261344537815518</v>
      </c>
      <c r="U20" s="14">
        <f t="shared" si="2"/>
        <v>1.9108996539792276</v>
      </c>
      <c r="V20" s="14">
        <f t="shared" si="3"/>
        <v>25.262027547489978</v>
      </c>
      <c r="W20" s="14">
        <f t="shared" si="4"/>
        <v>6.9478917449333011</v>
      </c>
    </row>
    <row r="21" spans="1:23" x14ac:dyDescent="0.25">
      <c r="A21" s="15" t="s">
        <v>655</v>
      </c>
      <c r="B21" s="15">
        <v>73.989999999999995</v>
      </c>
      <c r="C21" s="15">
        <v>8.4</v>
      </c>
      <c r="D21" s="15">
        <v>54142.29</v>
      </c>
      <c r="E21" s="15">
        <v>8.41</v>
      </c>
      <c r="F21" s="15">
        <v>83.01</v>
      </c>
      <c r="G21" s="15">
        <v>57.6</v>
      </c>
      <c r="H21" s="15">
        <v>3.46</v>
      </c>
      <c r="I21" s="15">
        <v>87.96</v>
      </c>
      <c r="J21" s="15">
        <v>66.62</v>
      </c>
      <c r="K21" s="15">
        <v>7.34</v>
      </c>
      <c r="P21" s="15" t="s">
        <v>651</v>
      </c>
      <c r="Q21" s="15">
        <v>72.05</v>
      </c>
      <c r="R21" s="15">
        <v>7.88</v>
      </c>
      <c r="S21" s="14">
        <f t="shared" si="0"/>
        <v>-0.95235294117646685</v>
      </c>
      <c r="T21" s="14">
        <f t="shared" si="1"/>
        <v>-3.6961344537815535</v>
      </c>
      <c r="U21" s="14">
        <f t="shared" si="2"/>
        <v>0.9069761245674669</v>
      </c>
      <c r="V21" s="14">
        <f t="shared" si="3"/>
        <v>13.661409900431062</v>
      </c>
      <c r="W21" s="14">
        <f t="shared" si="4"/>
        <v>3.5200245180425362</v>
      </c>
    </row>
    <row r="22" spans="1:23" x14ac:dyDescent="0.25">
      <c r="A22" s="15" t="s">
        <v>659</v>
      </c>
      <c r="B22" s="15">
        <v>73.819999999999993</v>
      </c>
      <c r="C22" s="15">
        <v>8.5399999999999991</v>
      </c>
      <c r="D22" s="15">
        <v>194903.1</v>
      </c>
      <c r="E22" s="15">
        <v>7.86</v>
      </c>
      <c r="F22" s="15">
        <v>85.99</v>
      </c>
      <c r="G22" s="15">
        <v>69.91</v>
      </c>
      <c r="H22" s="15">
        <v>2.91</v>
      </c>
      <c r="I22" s="15">
        <v>91.98</v>
      </c>
      <c r="J22" s="15">
        <v>63.67</v>
      </c>
      <c r="K22" s="15">
        <v>8.0399999999999991</v>
      </c>
      <c r="P22" s="15" t="s">
        <v>655</v>
      </c>
      <c r="Q22" s="15">
        <v>73.989999999999995</v>
      </c>
      <c r="R22" s="15">
        <v>8.4</v>
      </c>
      <c r="S22" s="14">
        <f t="shared" si="0"/>
        <v>-0.43235294117646639</v>
      </c>
      <c r="T22" s="14">
        <f t="shared" si="1"/>
        <v>-1.7561344537815557</v>
      </c>
      <c r="U22" s="14">
        <f t="shared" si="2"/>
        <v>0.186929065743941</v>
      </c>
      <c r="V22" s="14">
        <f t="shared" si="3"/>
        <v>3.0840082197586431</v>
      </c>
      <c r="W22" s="14">
        <f t="shared" si="4"/>
        <v>0.75926989619378293</v>
      </c>
    </row>
    <row r="23" spans="1:23" x14ac:dyDescent="0.25">
      <c r="A23" s="15" t="s">
        <v>663</v>
      </c>
      <c r="B23" s="15">
        <v>76.8</v>
      </c>
      <c r="C23" s="15">
        <v>10.19</v>
      </c>
      <c r="D23" s="15">
        <v>293664.78999999998</v>
      </c>
      <c r="E23" s="15">
        <v>4.8</v>
      </c>
      <c r="F23" s="15">
        <v>89.16</v>
      </c>
      <c r="G23" s="15">
        <v>76.959999999999994</v>
      </c>
      <c r="H23" s="15">
        <v>4.93</v>
      </c>
      <c r="I23" s="15">
        <v>90.18</v>
      </c>
      <c r="J23" s="15">
        <v>65.11</v>
      </c>
      <c r="K23" s="15">
        <v>8.82</v>
      </c>
      <c r="P23" s="15" t="s">
        <v>659</v>
      </c>
      <c r="Q23" s="15">
        <v>73.819999999999993</v>
      </c>
      <c r="R23" s="15">
        <v>8.5399999999999991</v>
      </c>
      <c r="S23" s="14">
        <f t="shared" si="0"/>
        <v>-0.2923529411764676</v>
      </c>
      <c r="T23" s="14">
        <f t="shared" si="1"/>
        <v>-1.9261344537815575</v>
      </c>
      <c r="U23" s="14">
        <f t="shared" si="2"/>
        <v>8.5470242214531117E-2</v>
      </c>
      <c r="V23" s="14">
        <f t="shared" si="3"/>
        <v>3.7099939340443786</v>
      </c>
      <c r="W23" s="14">
        <f t="shared" si="4"/>
        <v>0.56311107266436722</v>
      </c>
    </row>
    <row r="24" spans="1:23" x14ac:dyDescent="0.25">
      <c r="A24" s="15" t="s">
        <v>667</v>
      </c>
      <c r="B24" s="15">
        <v>70.77</v>
      </c>
      <c r="C24" s="15">
        <v>8.57</v>
      </c>
      <c r="D24" s="15">
        <v>36793.68</v>
      </c>
      <c r="E24" s="15">
        <v>10.49</v>
      </c>
      <c r="F24" s="15">
        <v>54.02</v>
      </c>
      <c r="G24" s="15">
        <v>40.85</v>
      </c>
      <c r="H24" s="15">
        <v>3.14</v>
      </c>
      <c r="I24" s="15">
        <v>81.59</v>
      </c>
      <c r="J24" s="15">
        <v>68.3</v>
      </c>
      <c r="K24" s="15">
        <v>6.7</v>
      </c>
      <c r="P24" s="15" t="s">
        <v>663</v>
      </c>
      <c r="Q24" s="15">
        <v>76.8</v>
      </c>
      <c r="R24" s="15">
        <v>10.19</v>
      </c>
      <c r="S24" s="14">
        <f t="shared" si="0"/>
        <v>1.3576470588235328</v>
      </c>
      <c r="T24" s="14">
        <f t="shared" si="1"/>
        <v>1.0538655462184465</v>
      </c>
      <c r="U24" s="14">
        <f t="shared" si="2"/>
        <v>1.8432055363321891</v>
      </c>
      <c r="V24" s="14">
        <f t="shared" si="3"/>
        <v>1.1106325895063047</v>
      </c>
      <c r="W24" s="14">
        <f t="shared" si="4"/>
        <v>1.4307774592189297</v>
      </c>
    </row>
    <row r="25" spans="1:23" x14ac:dyDescent="0.25">
      <c r="A25" s="15" t="s">
        <v>671</v>
      </c>
      <c r="B25" s="15">
        <v>71.03</v>
      </c>
      <c r="C25" s="15">
        <v>8.4700000000000006</v>
      </c>
      <c r="D25" s="15">
        <v>9324.31</v>
      </c>
      <c r="E25" s="15">
        <v>8.75</v>
      </c>
      <c r="F25" s="15">
        <v>90.3</v>
      </c>
      <c r="G25" s="15">
        <v>4.87</v>
      </c>
      <c r="H25" s="15">
        <v>2.5299999999999998</v>
      </c>
      <c r="I25" s="15">
        <v>91.22</v>
      </c>
      <c r="J25" s="15">
        <v>80.12</v>
      </c>
      <c r="K25" s="15">
        <v>1.58</v>
      </c>
      <c r="P25" s="15" t="s">
        <v>667</v>
      </c>
      <c r="Q25" s="15">
        <v>70.77</v>
      </c>
      <c r="R25" s="15">
        <v>8.57</v>
      </c>
      <c r="S25" s="14">
        <f t="shared" si="0"/>
        <v>-0.26235294117646646</v>
      </c>
      <c r="T25" s="14">
        <f t="shared" si="1"/>
        <v>-4.9761344537815546</v>
      </c>
      <c r="U25" s="14">
        <f t="shared" si="2"/>
        <v>6.8829065743942472E-2</v>
      </c>
      <c r="V25" s="14">
        <f t="shared" si="3"/>
        <v>24.761914102111852</v>
      </c>
      <c r="W25" s="14">
        <f t="shared" si="4"/>
        <v>1.3055035096391403</v>
      </c>
    </row>
    <row r="26" spans="1:23" x14ac:dyDescent="0.25">
      <c r="A26" s="15" t="s">
        <v>675</v>
      </c>
      <c r="B26" s="15">
        <v>79.03</v>
      </c>
      <c r="C26" s="15">
        <v>10.79</v>
      </c>
      <c r="D26" s="15">
        <v>38964.67</v>
      </c>
      <c r="E26" s="15">
        <v>6.53</v>
      </c>
      <c r="F26" s="15">
        <v>71.489999999999995</v>
      </c>
      <c r="G26" s="15">
        <v>18.39</v>
      </c>
      <c r="H26" s="15">
        <v>2.4500000000000002</v>
      </c>
      <c r="I26" s="15">
        <v>92.34</v>
      </c>
      <c r="J26" s="15">
        <v>67.349999999999994</v>
      </c>
      <c r="K26" s="15">
        <v>8.1300000000000008</v>
      </c>
      <c r="P26" s="15" t="s">
        <v>671</v>
      </c>
      <c r="Q26" s="15">
        <v>71.03</v>
      </c>
      <c r="R26" s="15">
        <v>8.4700000000000006</v>
      </c>
      <c r="S26" s="14">
        <f t="shared" si="0"/>
        <v>-0.3623529411764661</v>
      </c>
      <c r="T26" s="14">
        <f t="shared" si="1"/>
        <v>-4.7161344537815495</v>
      </c>
      <c r="U26" s="14">
        <f t="shared" si="2"/>
        <v>0.13129965397923551</v>
      </c>
      <c r="V26" s="14">
        <f t="shared" si="3"/>
        <v>22.241924186145393</v>
      </c>
      <c r="W26" s="14">
        <f t="shared" si="4"/>
        <v>1.708905190311411</v>
      </c>
    </row>
    <row r="27" spans="1:23" x14ac:dyDescent="0.25">
      <c r="A27" s="15" t="s">
        <v>679</v>
      </c>
      <c r="B27" s="15">
        <v>77.69</v>
      </c>
      <c r="C27" s="15">
        <v>10.44</v>
      </c>
      <c r="D27" s="15">
        <v>10303.16</v>
      </c>
      <c r="E27" s="15">
        <v>7.2</v>
      </c>
      <c r="F27" s="15">
        <v>45.88</v>
      </c>
      <c r="G27" s="15">
        <v>4.87</v>
      </c>
      <c r="H27" s="15">
        <v>5.97</v>
      </c>
      <c r="I27" s="15">
        <v>93.24</v>
      </c>
      <c r="J27" s="15">
        <v>62.58</v>
      </c>
      <c r="K27" s="15">
        <v>8.34</v>
      </c>
      <c r="P27" s="15" t="s">
        <v>675</v>
      </c>
      <c r="Q27" s="15">
        <v>79.03</v>
      </c>
      <c r="R27" s="15">
        <v>10.79</v>
      </c>
      <c r="S27" s="14">
        <f t="shared" si="0"/>
        <v>1.9576470588235324</v>
      </c>
      <c r="T27" s="14">
        <f t="shared" si="1"/>
        <v>3.2838655462184505</v>
      </c>
      <c r="U27" s="14">
        <f t="shared" si="2"/>
        <v>3.8323820069204269</v>
      </c>
      <c r="V27" s="14">
        <f t="shared" si="3"/>
        <v>10.783772925640601</v>
      </c>
      <c r="W27" s="14">
        <f t="shared" si="4"/>
        <v>6.4286497281264827</v>
      </c>
    </row>
    <row r="28" spans="1:23" x14ac:dyDescent="0.25">
      <c r="A28" s="15" t="s">
        <v>681</v>
      </c>
      <c r="B28" s="15">
        <v>83.75</v>
      </c>
      <c r="C28" s="15">
        <v>11.05</v>
      </c>
      <c r="D28" s="15">
        <v>233053.79</v>
      </c>
      <c r="E28" s="15">
        <v>3.87</v>
      </c>
      <c r="F28" s="15">
        <v>55.9</v>
      </c>
      <c r="G28" s="15">
        <v>18.29</v>
      </c>
      <c r="H28" s="15">
        <v>0.77</v>
      </c>
      <c r="I28" s="15">
        <v>95.38</v>
      </c>
      <c r="J28" s="15">
        <v>67.930000000000007</v>
      </c>
      <c r="K28" s="15">
        <v>7.4</v>
      </c>
      <c r="P28" s="15" t="s">
        <v>679</v>
      </c>
      <c r="Q28" s="15">
        <v>77.69</v>
      </c>
      <c r="R28" s="15">
        <v>10.44</v>
      </c>
      <c r="S28" s="14">
        <f t="shared" si="0"/>
        <v>1.6076470588235328</v>
      </c>
      <c r="T28" s="14">
        <f t="shared" si="1"/>
        <v>1.9438655462184471</v>
      </c>
      <c r="U28" s="14">
        <f t="shared" si="2"/>
        <v>2.5845290657439555</v>
      </c>
      <c r="V28" s="14">
        <f t="shared" si="3"/>
        <v>3.7786132617751416</v>
      </c>
      <c r="W28" s="14">
        <f t="shared" si="4"/>
        <v>3.1250497281264864</v>
      </c>
    </row>
    <row r="29" spans="1:23" x14ac:dyDescent="0.25">
      <c r="A29" s="15" t="s">
        <v>685</v>
      </c>
      <c r="B29" s="15">
        <v>78.09</v>
      </c>
      <c r="C29" s="15">
        <v>10.66</v>
      </c>
      <c r="D29" s="15">
        <v>19884.060000000001</v>
      </c>
      <c r="E29" s="15">
        <v>9.02</v>
      </c>
      <c r="F29" s="15">
        <v>95.38</v>
      </c>
      <c r="G29" s="15">
        <v>10.09</v>
      </c>
      <c r="H29" s="15">
        <v>1.27</v>
      </c>
      <c r="I29" s="15">
        <v>96.59</v>
      </c>
      <c r="J29" s="15">
        <v>68.55</v>
      </c>
      <c r="K29" s="15">
        <v>6.29</v>
      </c>
      <c r="P29" s="15" t="s">
        <v>681</v>
      </c>
      <c r="Q29" s="15">
        <v>83.75</v>
      </c>
      <c r="R29" s="15">
        <v>11.05</v>
      </c>
      <c r="S29" s="14">
        <f t="shared" si="0"/>
        <v>2.217647058823534</v>
      </c>
      <c r="T29" s="14">
        <f t="shared" si="1"/>
        <v>8.0038655462184494</v>
      </c>
      <c r="U29" s="14">
        <f t="shared" si="2"/>
        <v>4.9179584775086704</v>
      </c>
      <c r="V29" s="14">
        <f t="shared" si="3"/>
        <v>64.061863681942754</v>
      </c>
      <c r="W29" s="14">
        <f t="shared" si="4"/>
        <v>17.749748887790361</v>
      </c>
    </row>
    <row r="30" spans="1:23" x14ac:dyDescent="0.25">
      <c r="A30" s="15" t="s">
        <v>687</v>
      </c>
      <c r="B30" s="15">
        <v>83.55</v>
      </c>
      <c r="C30" s="15">
        <v>11.9</v>
      </c>
      <c r="D30" s="15">
        <v>81251.61</v>
      </c>
      <c r="E30" s="15">
        <v>4.01</v>
      </c>
      <c r="F30" s="15">
        <v>99.08</v>
      </c>
      <c r="G30" s="15">
        <v>33.049999999999997</v>
      </c>
      <c r="H30" s="15">
        <v>2.96</v>
      </c>
      <c r="I30" s="15">
        <v>94.28</v>
      </c>
      <c r="J30" s="15">
        <v>65.58</v>
      </c>
      <c r="K30" s="15">
        <v>7.82</v>
      </c>
      <c r="P30" s="15" t="s">
        <v>685</v>
      </c>
      <c r="Q30" s="15">
        <v>78.09</v>
      </c>
      <c r="R30" s="15">
        <v>10.66</v>
      </c>
      <c r="S30" s="14">
        <f t="shared" si="0"/>
        <v>1.8276470588235334</v>
      </c>
      <c r="T30" s="14">
        <f t="shared" si="1"/>
        <v>2.3438655462184528</v>
      </c>
      <c r="U30" s="14">
        <f t="shared" si="2"/>
        <v>3.3402937716263121</v>
      </c>
      <c r="V30" s="14">
        <f t="shared" si="3"/>
        <v>5.4937056987499258</v>
      </c>
      <c r="W30" s="14">
        <f t="shared" si="4"/>
        <v>4.2837589718239695</v>
      </c>
    </row>
    <row r="31" spans="1:23" x14ac:dyDescent="0.25">
      <c r="A31" s="15" t="s">
        <v>691</v>
      </c>
      <c r="B31" s="15">
        <v>83.05</v>
      </c>
      <c r="C31" s="15">
        <v>11.58</v>
      </c>
      <c r="D31" s="15">
        <v>58241.86</v>
      </c>
      <c r="E31" s="15">
        <v>2.34</v>
      </c>
      <c r="F31" s="15">
        <v>98.76</v>
      </c>
      <c r="G31" s="15">
        <v>29.16</v>
      </c>
      <c r="H31" s="15">
        <v>5</v>
      </c>
      <c r="I31" s="15">
        <v>94.26</v>
      </c>
      <c r="J31" s="15">
        <v>62.89</v>
      </c>
      <c r="K31" s="15">
        <v>6.27</v>
      </c>
      <c r="P31" s="15" t="s">
        <v>687</v>
      </c>
      <c r="Q31" s="15">
        <v>83.55</v>
      </c>
      <c r="R31" s="15">
        <v>11.9</v>
      </c>
      <c r="S31" s="14">
        <f t="shared" si="0"/>
        <v>3.0676470588235336</v>
      </c>
      <c r="T31" s="14">
        <f t="shared" si="1"/>
        <v>7.8038655462184465</v>
      </c>
      <c r="U31" s="14">
        <f t="shared" si="2"/>
        <v>9.4104584775086764</v>
      </c>
      <c r="V31" s="14">
        <f t="shared" si="3"/>
        <v>60.90031746345533</v>
      </c>
      <c r="W31" s="14">
        <f t="shared" si="4"/>
        <v>23.939505190311326</v>
      </c>
    </row>
    <row r="32" spans="1:23" x14ac:dyDescent="0.25">
      <c r="A32" s="15" t="s">
        <v>695</v>
      </c>
      <c r="B32" s="15">
        <v>80.3</v>
      </c>
      <c r="C32" s="15">
        <v>11.47</v>
      </c>
      <c r="D32" s="15">
        <v>27296.93</v>
      </c>
      <c r="E32" s="15">
        <v>4.3899999999999997</v>
      </c>
      <c r="F32" s="15">
        <v>76.44</v>
      </c>
      <c r="G32" s="15">
        <v>44.83</v>
      </c>
      <c r="H32" s="15">
        <v>2.81</v>
      </c>
      <c r="I32" s="15">
        <v>92.78</v>
      </c>
      <c r="J32" s="15">
        <v>66.52</v>
      </c>
      <c r="K32" s="15">
        <v>8.9700000000000006</v>
      </c>
      <c r="P32" s="15" t="s">
        <v>691</v>
      </c>
      <c r="Q32" s="15">
        <v>83.05</v>
      </c>
      <c r="R32" s="15">
        <v>11.58</v>
      </c>
      <c r="S32" s="14">
        <f t="shared" si="0"/>
        <v>2.7476470588235333</v>
      </c>
      <c r="T32" s="14">
        <f t="shared" si="1"/>
        <v>7.3038655462184465</v>
      </c>
      <c r="U32" s="14">
        <f t="shared" si="2"/>
        <v>7.5495643598616136</v>
      </c>
      <c r="V32" s="14">
        <f t="shared" si="3"/>
        <v>53.346451917236884</v>
      </c>
      <c r="W32" s="14">
        <f t="shared" si="4"/>
        <v>20.068444686109654</v>
      </c>
    </row>
    <row r="33" spans="1:23" x14ac:dyDescent="0.25">
      <c r="A33" s="15" t="s">
        <v>699</v>
      </c>
      <c r="B33" s="15">
        <v>76.03</v>
      </c>
      <c r="C33" s="15">
        <v>9.86</v>
      </c>
      <c r="D33" s="15">
        <v>18709.87</v>
      </c>
      <c r="E33" s="15">
        <v>11.1</v>
      </c>
      <c r="F33" s="15">
        <v>53.16</v>
      </c>
      <c r="G33" s="15">
        <v>13.41</v>
      </c>
      <c r="H33" s="15">
        <v>5.46</v>
      </c>
      <c r="I33" s="15">
        <v>92.98</v>
      </c>
      <c r="J33" s="15">
        <v>68.92</v>
      </c>
      <c r="K33" s="15">
        <v>6.49</v>
      </c>
      <c r="P33" s="15" t="s">
        <v>695</v>
      </c>
      <c r="Q33" s="15">
        <v>80.3</v>
      </c>
      <c r="R33" s="15">
        <v>11.47</v>
      </c>
      <c r="S33" s="14">
        <f t="shared" si="0"/>
        <v>2.6376470588235339</v>
      </c>
      <c r="T33" s="14">
        <f t="shared" si="1"/>
        <v>4.5538655462184465</v>
      </c>
      <c r="U33" s="14">
        <f t="shared" si="2"/>
        <v>6.9571820069204389</v>
      </c>
      <c r="V33" s="14">
        <f t="shared" si="3"/>
        <v>20.737691413035432</v>
      </c>
      <c r="W33" s="14">
        <f t="shared" si="4"/>
        <v>12.011490064260911</v>
      </c>
    </row>
    <row r="34" spans="1:23" x14ac:dyDescent="0.25">
      <c r="A34" s="15" t="s">
        <v>702</v>
      </c>
      <c r="B34" s="15">
        <v>75.010000000000005</v>
      </c>
      <c r="C34" s="15">
        <v>9.15</v>
      </c>
      <c r="D34" s="15">
        <v>3883.98</v>
      </c>
      <c r="E34" s="15">
        <v>5.85</v>
      </c>
      <c r="F34" s="15">
        <v>91.07</v>
      </c>
      <c r="G34" s="15">
        <v>10.29</v>
      </c>
      <c r="H34" s="15">
        <v>3.91</v>
      </c>
      <c r="I34" s="15">
        <v>88.93</v>
      </c>
      <c r="J34" s="15">
        <v>67.22</v>
      </c>
      <c r="K34" s="15">
        <v>5.44</v>
      </c>
      <c r="P34" s="15" t="s">
        <v>699</v>
      </c>
      <c r="Q34" s="15">
        <v>76.03</v>
      </c>
      <c r="R34" s="15">
        <v>9.86</v>
      </c>
      <c r="S34" s="14">
        <f t="shared" si="0"/>
        <v>1.0276470588235327</v>
      </c>
      <c r="T34" s="14">
        <f t="shared" si="1"/>
        <v>0.2838655462184505</v>
      </c>
      <c r="U34" s="14">
        <f t="shared" si="2"/>
        <v>1.0560584775086572</v>
      </c>
      <c r="V34" s="14">
        <f t="shared" si="3"/>
        <v>8.0579648329899264E-2</v>
      </c>
      <c r="W34" s="14">
        <f t="shared" si="4"/>
        <v>0.29171359367272626</v>
      </c>
    </row>
    <row r="35" spans="1:23" x14ac:dyDescent="0.25">
      <c r="A35" s="15" t="s">
        <v>707</v>
      </c>
      <c r="B35" s="15">
        <v>72.55</v>
      </c>
      <c r="C35" s="15">
        <v>7.4</v>
      </c>
      <c r="D35" s="15">
        <v>104540.67</v>
      </c>
      <c r="E35" s="15">
        <v>10.68</v>
      </c>
      <c r="F35" s="15">
        <v>83.25</v>
      </c>
      <c r="G35" s="15">
        <v>55.46</v>
      </c>
      <c r="H35" s="15">
        <v>1.06</v>
      </c>
      <c r="I35" s="15">
        <v>87.82</v>
      </c>
      <c r="J35" s="15">
        <v>67.95</v>
      </c>
      <c r="K35" s="15">
        <v>7.83</v>
      </c>
      <c r="P35" s="15" t="s">
        <v>702</v>
      </c>
      <c r="Q35" s="15">
        <v>75.010000000000005</v>
      </c>
      <c r="R35" s="15">
        <v>9.15</v>
      </c>
      <c r="S35" s="14">
        <f t="shared" si="0"/>
        <v>0.31764705882353361</v>
      </c>
      <c r="T35" s="14">
        <f t="shared" si="1"/>
        <v>-0.73613445378154552</v>
      </c>
      <c r="U35" s="14">
        <f t="shared" si="2"/>
        <v>0.10089965397924142</v>
      </c>
      <c r="V35" s="14">
        <f t="shared" si="3"/>
        <v>0.54189393404425434</v>
      </c>
      <c r="W35" s="14">
        <f t="shared" si="4"/>
        <v>-0.23383094414237637</v>
      </c>
    </row>
    <row r="36" spans="1:23" x14ac:dyDescent="0.25">
      <c r="A36" s="15" t="s">
        <v>711</v>
      </c>
      <c r="B36" s="15">
        <v>74.52</v>
      </c>
      <c r="C36" s="15">
        <v>7.91</v>
      </c>
      <c r="D36" s="15">
        <v>47795.71</v>
      </c>
      <c r="E36" s="15">
        <v>11.95</v>
      </c>
      <c r="F36" s="15">
        <v>83.25</v>
      </c>
      <c r="G36" s="15">
        <v>26.4</v>
      </c>
      <c r="H36" s="15">
        <v>5.05</v>
      </c>
      <c r="I36" s="15">
        <v>89.64</v>
      </c>
      <c r="J36" s="15">
        <v>68.03</v>
      </c>
      <c r="K36" s="15">
        <v>6.18</v>
      </c>
      <c r="P36" s="15" t="s">
        <v>707</v>
      </c>
      <c r="Q36" s="15">
        <v>72.55</v>
      </c>
      <c r="R36" s="15">
        <v>7.4</v>
      </c>
      <c r="S36" s="14">
        <f t="shared" si="0"/>
        <v>-1.4323529411764664</v>
      </c>
      <c r="T36" s="14">
        <f t="shared" si="1"/>
        <v>-3.1961344537815535</v>
      </c>
      <c r="U36" s="14">
        <f t="shared" si="2"/>
        <v>2.0516349480968739</v>
      </c>
      <c r="V36" s="14">
        <f t="shared" si="3"/>
        <v>10.215275446649509</v>
      </c>
      <c r="W36" s="14">
        <f t="shared" si="4"/>
        <v>4.5779925852694472</v>
      </c>
    </row>
    <row r="37" spans="1:23" x14ac:dyDescent="0.25">
      <c r="A37" s="15" t="s">
        <v>715</v>
      </c>
      <c r="B37" s="15">
        <v>70.97</v>
      </c>
      <c r="C37" s="15">
        <v>7.36</v>
      </c>
      <c r="D37" s="15">
        <v>20422.61</v>
      </c>
      <c r="E37" s="15">
        <v>14.18</v>
      </c>
      <c r="F37" s="15">
        <v>82.01</v>
      </c>
      <c r="G37" s="15">
        <v>28.27</v>
      </c>
      <c r="H37" s="15">
        <v>4.25</v>
      </c>
      <c r="I37" s="15">
        <v>93.92</v>
      </c>
      <c r="J37" s="15">
        <v>74.47</v>
      </c>
      <c r="K37" s="15">
        <v>4.96</v>
      </c>
      <c r="P37" s="15" t="s">
        <v>711</v>
      </c>
      <c r="Q37" s="15">
        <v>74.52</v>
      </c>
      <c r="R37" s="15">
        <v>7.91</v>
      </c>
      <c r="S37" s="14">
        <f t="shared" si="0"/>
        <v>-0.9223529411764666</v>
      </c>
      <c r="T37" s="14">
        <f t="shared" si="1"/>
        <v>-1.2261344537815546</v>
      </c>
      <c r="U37" s="14">
        <f t="shared" si="2"/>
        <v>0.85073494809687844</v>
      </c>
      <c r="V37" s="14">
        <f t="shared" si="3"/>
        <v>1.5034056987501914</v>
      </c>
      <c r="W37" s="14">
        <f t="shared" si="4"/>
        <v>1.1309287197232172</v>
      </c>
    </row>
    <row r="38" spans="1:23" x14ac:dyDescent="0.25">
      <c r="A38" s="15" t="s">
        <v>719</v>
      </c>
      <c r="B38" s="15">
        <v>69.62</v>
      </c>
      <c r="C38" s="15">
        <v>6.87</v>
      </c>
      <c r="D38" s="15">
        <v>18051.84</v>
      </c>
      <c r="E38" s="15">
        <v>14.71</v>
      </c>
      <c r="F38" s="15">
        <v>52.4</v>
      </c>
      <c r="G38" s="15">
        <v>16.57</v>
      </c>
      <c r="H38" s="15">
        <v>4.37</v>
      </c>
      <c r="I38" s="15">
        <v>95.11</v>
      </c>
      <c r="J38" s="15">
        <v>73.38</v>
      </c>
      <c r="K38" s="15">
        <v>5.57</v>
      </c>
      <c r="P38" s="15" t="s">
        <v>715</v>
      </c>
      <c r="Q38" s="15">
        <v>70.97</v>
      </c>
      <c r="R38" s="15">
        <v>7.36</v>
      </c>
      <c r="S38" s="14">
        <f t="shared" si="0"/>
        <v>-1.4723529411764664</v>
      </c>
      <c r="T38" s="14">
        <f t="shared" si="1"/>
        <v>-4.7761344537815518</v>
      </c>
      <c r="U38" s="14">
        <f t="shared" si="2"/>
        <v>2.1678231833909911</v>
      </c>
      <c r="V38" s="14">
        <f t="shared" si="3"/>
        <v>22.811460320599203</v>
      </c>
      <c r="W38" s="14">
        <f t="shared" si="4"/>
        <v>7.0321556104795233</v>
      </c>
    </row>
    <row r="39" spans="1:23" x14ac:dyDescent="0.25">
      <c r="A39" s="15" t="s">
        <v>722</v>
      </c>
      <c r="B39" s="15">
        <v>72.48</v>
      </c>
      <c r="C39" s="15">
        <v>7.87</v>
      </c>
      <c r="D39" s="15">
        <v>23837.83</v>
      </c>
      <c r="E39" s="15">
        <v>15.71</v>
      </c>
      <c r="F39" s="15">
        <v>93.43</v>
      </c>
      <c r="G39" s="15">
        <v>22.69</v>
      </c>
      <c r="H39" s="15">
        <v>6</v>
      </c>
      <c r="I39" s="15">
        <v>93.39</v>
      </c>
      <c r="J39" s="15">
        <v>77.37</v>
      </c>
      <c r="K39" s="15">
        <v>5.07</v>
      </c>
      <c r="P39" s="15" t="s">
        <v>719</v>
      </c>
      <c r="Q39" s="15">
        <v>69.62</v>
      </c>
      <c r="R39" s="15">
        <v>6.87</v>
      </c>
      <c r="S39" s="14">
        <f t="shared" si="0"/>
        <v>-1.9623529411764666</v>
      </c>
      <c r="T39" s="14">
        <f t="shared" si="1"/>
        <v>-6.1261344537815461</v>
      </c>
      <c r="U39" s="14">
        <f t="shared" si="2"/>
        <v>3.850829065743929</v>
      </c>
      <c r="V39" s="14">
        <f t="shared" si="3"/>
        <v>37.529523345809324</v>
      </c>
      <c r="W39" s="14">
        <f t="shared" si="4"/>
        <v>12.021637963420703</v>
      </c>
    </row>
    <row r="40" spans="1:23" x14ac:dyDescent="0.25">
      <c r="A40" s="15" t="s">
        <v>726</v>
      </c>
      <c r="B40" s="15">
        <v>75.16</v>
      </c>
      <c r="C40" s="15">
        <v>8.65</v>
      </c>
      <c r="D40" s="15">
        <v>15745.98</v>
      </c>
      <c r="E40" s="15">
        <v>10.87</v>
      </c>
      <c r="F40" s="15">
        <v>84.64</v>
      </c>
      <c r="G40" s="15">
        <v>20.059999999999999</v>
      </c>
      <c r="H40" s="15">
        <v>4.8600000000000003</v>
      </c>
      <c r="I40" s="15">
        <v>95.24</v>
      </c>
      <c r="J40" s="15">
        <v>73.72</v>
      </c>
      <c r="K40" s="15">
        <v>3.89</v>
      </c>
      <c r="P40" s="15" t="s">
        <v>722</v>
      </c>
      <c r="Q40" s="15">
        <v>72.48</v>
      </c>
      <c r="R40" s="15">
        <v>7.87</v>
      </c>
      <c r="S40" s="14">
        <f t="shared" si="0"/>
        <v>-0.96235294117646664</v>
      </c>
      <c r="T40" s="14">
        <f t="shared" si="1"/>
        <v>-3.2661344537815467</v>
      </c>
      <c r="U40" s="14">
        <f t="shared" si="2"/>
        <v>0.92612318339099586</v>
      </c>
      <c r="V40" s="14">
        <f t="shared" si="3"/>
        <v>10.667634270178882</v>
      </c>
      <c r="W40" s="14">
        <f t="shared" si="4"/>
        <v>3.1431740978744638</v>
      </c>
    </row>
    <row r="41" spans="1:23" x14ac:dyDescent="0.25">
      <c r="A41" s="15" t="s">
        <v>729</v>
      </c>
      <c r="B41" s="15">
        <v>70.63</v>
      </c>
      <c r="C41" s="15">
        <v>6.9</v>
      </c>
      <c r="D41" s="15">
        <v>16109.38</v>
      </c>
      <c r="E41" s="15">
        <v>15.28</v>
      </c>
      <c r="F41" s="15">
        <v>63.81</v>
      </c>
      <c r="G41" s="15">
        <v>17.72</v>
      </c>
      <c r="H41" s="15">
        <v>1.42</v>
      </c>
      <c r="I41" s="15">
        <v>92.94</v>
      </c>
      <c r="J41" s="15">
        <v>74.97</v>
      </c>
      <c r="K41" s="15">
        <v>4.0199999999999996</v>
      </c>
      <c r="P41" s="15" t="s">
        <v>726</v>
      </c>
      <c r="Q41" s="15">
        <v>75.16</v>
      </c>
      <c r="R41" s="15">
        <v>8.65</v>
      </c>
      <c r="S41" s="14">
        <f t="shared" si="0"/>
        <v>-0.18235294117646639</v>
      </c>
      <c r="T41" s="14">
        <f t="shared" si="1"/>
        <v>-0.58613445378155404</v>
      </c>
      <c r="U41" s="14">
        <f t="shared" si="2"/>
        <v>3.3252595155707811E-2</v>
      </c>
      <c r="V41" s="14">
        <f t="shared" si="3"/>
        <v>0.34355359790980072</v>
      </c>
      <c r="W41" s="14">
        <f t="shared" si="4"/>
        <v>0.10688334157192798</v>
      </c>
    </row>
    <row r="42" spans="1:23" x14ac:dyDescent="0.25">
      <c r="A42" s="15" t="s">
        <v>733</v>
      </c>
      <c r="B42" s="15">
        <v>72.099999999999994</v>
      </c>
      <c r="C42" s="15">
        <v>7.83</v>
      </c>
      <c r="D42" s="15">
        <v>27538.21</v>
      </c>
      <c r="E42" s="15">
        <v>10.83</v>
      </c>
      <c r="F42" s="15">
        <v>83.77</v>
      </c>
      <c r="G42" s="15">
        <v>24.46</v>
      </c>
      <c r="H42" s="15">
        <v>6.54</v>
      </c>
      <c r="I42" s="15">
        <v>92.93</v>
      </c>
      <c r="J42" s="15">
        <v>77.72</v>
      </c>
      <c r="K42" s="15">
        <v>3.55</v>
      </c>
      <c r="P42" s="15" t="s">
        <v>729</v>
      </c>
      <c r="Q42" s="15">
        <v>70.63</v>
      </c>
      <c r="R42" s="15">
        <v>6.9</v>
      </c>
      <c r="S42" s="14">
        <f t="shared" si="0"/>
        <v>-1.9323529411764664</v>
      </c>
      <c r="T42" s="14">
        <f t="shared" si="1"/>
        <v>-5.1161344537815552</v>
      </c>
      <c r="U42" s="14">
        <f t="shared" si="2"/>
        <v>3.7339878892733402</v>
      </c>
      <c r="V42" s="14">
        <f t="shared" si="3"/>
        <v>26.174831749170693</v>
      </c>
      <c r="W42" s="14">
        <f t="shared" si="4"/>
        <v>9.8861774592190432</v>
      </c>
    </row>
    <row r="43" spans="1:23" x14ac:dyDescent="0.25">
      <c r="A43" s="15" t="s">
        <v>737</v>
      </c>
      <c r="B43" s="15">
        <v>75.959999999999994</v>
      </c>
      <c r="C43" s="15">
        <v>8.17</v>
      </c>
      <c r="D43" s="15">
        <v>27556.18</v>
      </c>
      <c r="E43" s="15">
        <v>9.6300000000000008</v>
      </c>
      <c r="F43" s="15">
        <v>88.26</v>
      </c>
      <c r="G43" s="15">
        <v>31.48</v>
      </c>
      <c r="H43" s="15">
        <v>6.5</v>
      </c>
      <c r="I43" s="15">
        <v>94.76</v>
      </c>
      <c r="J43" s="15">
        <v>75.25</v>
      </c>
      <c r="K43" s="15">
        <v>3.16</v>
      </c>
      <c r="P43" s="15" t="s">
        <v>733</v>
      </c>
      <c r="Q43" s="15">
        <v>72.099999999999994</v>
      </c>
      <c r="R43" s="15">
        <v>7.83</v>
      </c>
      <c r="S43" s="14">
        <f t="shared" si="0"/>
        <v>-1.0023529411764667</v>
      </c>
      <c r="T43" s="14">
        <f t="shared" si="1"/>
        <v>-3.6461344537815563</v>
      </c>
      <c r="U43" s="14">
        <f t="shared" si="2"/>
        <v>1.0047114186851132</v>
      </c>
      <c r="V43" s="14">
        <f t="shared" si="3"/>
        <v>13.294296455052928</v>
      </c>
      <c r="W43" s="14">
        <f t="shared" si="4"/>
        <v>3.6547135936727928</v>
      </c>
    </row>
    <row r="44" spans="1:23" x14ac:dyDescent="0.25">
      <c r="A44" s="15" t="s">
        <v>740</v>
      </c>
      <c r="B44" s="15">
        <v>78.16</v>
      </c>
      <c r="C44" s="15">
        <v>9.2899999999999991</v>
      </c>
      <c r="D44" s="15">
        <v>33568.92</v>
      </c>
      <c r="E44" s="15">
        <v>12.04</v>
      </c>
      <c r="F44" s="15">
        <v>97.86</v>
      </c>
      <c r="G44" s="15">
        <v>38.549999999999997</v>
      </c>
      <c r="H44" s="15">
        <v>5.37</v>
      </c>
      <c r="I44" s="15">
        <v>95.99</v>
      </c>
      <c r="J44" s="15">
        <v>74.239999999999995</v>
      </c>
      <c r="K44" s="15">
        <v>3.97</v>
      </c>
      <c r="P44" s="15" t="s">
        <v>737</v>
      </c>
      <c r="Q44" s="15">
        <v>75.959999999999994</v>
      </c>
      <c r="R44" s="15">
        <v>8.17</v>
      </c>
      <c r="S44" s="14">
        <f t="shared" si="0"/>
        <v>-0.66235294117646681</v>
      </c>
      <c r="T44" s="14">
        <f t="shared" si="1"/>
        <v>0.21386554621844311</v>
      </c>
      <c r="U44" s="14">
        <f t="shared" si="2"/>
        <v>0.43871141868511609</v>
      </c>
      <c r="V44" s="14">
        <f t="shared" si="3"/>
        <v>4.5738471859313026E-2</v>
      </c>
      <c r="W44" s="14">
        <f t="shared" si="4"/>
        <v>-0.14165447355409741</v>
      </c>
    </row>
    <row r="45" spans="1:23" x14ac:dyDescent="0.25">
      <c r="A45" s="15" t="s">
        <v>744</v>
      </c>
      <c r="B45" s="15">
        <v>79.3</v>
      </c>
      <c r="C45" s="15">
        <v>10.01</v>
      </c>
      <c r="D45" s="15">
        <v>32187.41</v>
      </c>
      <c r="E45" s="15">
        <v>7.47</v>
      </c>
      <c r="F45" s="15">
        <v>97.08</v>
      </c>
      <c r="G45" s="15">
        <v>38.15</v>
      </c>
      <c r="H45" s="15">
        <v>3.63</v>
      </c>
      <c r="I45" s="15">
        <v>97.87</v>
      </c>
      <c r="J45" s="15">
        <v>68.209999999999994</v>
      </c>
      <c r="K45" s="15">
        <v>3.65</v>
      </c>
      <c r="P45" s="15" t="s">
        <v>740</v>
      </c>
      <c r="Q45" s="15">
        <v>78.16</v>
      </c>
      <c r="R45" s="15">
        <v>9.2899999999999991</v>
      </c>
      <c r="S45" s="14">
        <f t="shared" si="0"/>
        <v>0.4576470588235324</v>
      </c>
      <c r="T45" s="14">
        <f t="shared" si="1"/>
        <v>2.413865546218446</v>
      </c>
      <c r="U45" s="14">
        <f t="shared" si="2"/>
        <v>0.20944083044982972</v>
      </c>
      <c r="V45" s="14">
        <f t="shared" si="3"/>
        <v>5.8267468752204765</v>
      </c>
      <c r="W45" s="14">
        <f t="shared" si="4"/>
        <v>1.1046984676223313</v>
      </c>
    </row>
    <row r="46" spans="1:23" x14ac:dyDescent="0.25">
      <c r="A46" s="15" t="s">
        <v>748</v>
      </c>
      <c r="B46" s="15">
        <v>72.540000000000006</v>
      </c>
      <c r="C46" s="15">
        <v>7.68</v>
      </c>
      <c r="D46" s="15">
        <v>24728.69</v>
      </c>
      <c r="E46" s="15">
        <v>10.71</v>
      </c>
      <c r="F46" s="15">
        <v>96.25</v>
      </c>
      <c r="G46" s="15">
        <v>19.25</v>
      </c>
      <c r="H46" s="15">
        <v>6.49</v>
      </c>
      <c r="I46" s="15">
        <v>92.27</v>
      </c>
      <c r="J46" s="15">
        <v>77.75</v>
      </c>
      <c r="K46" s="15">
        <v>2.4</v>
      </c>
      <c r="P46" s="15" t="s">
        <v>744</v>
      </c>
      <c r="Q46" s="15">
        <v>79.3</v>
      </c>
      <c r="R46" s="15">
        <v>10.01</v>
      </c>
      <c r="S46" s="14">
        <f t="shared" si="0"/>
        <v>1.177647058823533</v>
      </c>
      <c r="T46" s="14">
        <f t="shared" si="1"/>
        <v>3.5538655462184465</v>
      </c>
      <c r="U46" s="14">
        <f t="shared" si="2"/>
        <v>1.3868525951557178</v>
      </c>
      <c r="V46" s="14">
        <f t="shared" si="3"/>
        <v>12.629960320598537</v>
      </c>
      <c r="W46" s="14">
        <f t="shared" si="4"/>
        <v>4.1851993079584426</v>
      </c>
    </row>
    <row r="47" spans="1:23" x14ac:dyDescent="0.25">
      <c r="A47" s="15" t="s">
        <v>752</v>
      </c>
      <c r="B47" s="15">
        <v>78.11</v>
      </c>
      <c r="C47" s="15">
        <v>9.26</v>
      </c>
      <c r="D47" s="15">
        <v>31883.1</v>
      </c>
      <c r="E47" s="15">
        <v>9.59</v>
      </c>
      <c r="F47" s="15">
        <v>98.54</v>
      </c>
      <c r="G47" s="15">
        <v>46.97</v>
      </c>
      <c r="H47" s="15">
        <v>5.4</v>
      </c>
      <c r="I47" s="15">
        <v>97.13</v>
      </c>
      <c r="J47" s="15">
        <v>74.569999999999993</v>
      </c>
      <c r="K47" s="15">
        <v>3.47</v>
      </c>
      <c r="P47" s="15" t="s">
        <v>748</v>
      </c>
      <c r="Q47" s="15">
        <v>72.540000000000006</v>
      </c>
      <c r="R47" s="15">
        <v>7.68</v>
      </c>
      <c r="S47" s="14">
        <f t="shared" si="0"/>
        <v>-1.152352941176467</v>
      </c>
      <c r="T47" s="14">
        <f t="shared" si="1"/>
        <v>-3.2061344537815444</v>
      </c>
      <c r="U47" s="14">
        <f t="shared" si="2"/>
        <v>1.3279173010380541</v>
      </c>
      <c r="V47" s="14">
        <f t="shared" si="3"/>
        <v>10.279298135725082</v>
      </c>
      <c r="W47" s="14">
        <f t="shared" si="4"/>
        <v>3.6945984676223684</v>
      </c>
    </row>
    <row r="48" spans="1:23" x14ac:dyDescent="0.25">
      <c r="A48" s="15" t="s">
        <v>756</v>
      </c>
      <c r="B48" s="15">
        <v>75.53</v>
      </c>
      <c r="C48" s="15">
        <v>7.88</v>
      </c>
      <c r="D48" s="15">
        <v>32084.080000000002</v>
      </c>
      <c r="E48" s="15">
        <v>12.41</v>
      </c>
      <c r="F48" s="15">
        <v>95.71</v>
      </c>
      <c r="G48" s="15">
        <v>39.76</v>
      </c>
      <c r="H48" s="15">
        <v>4.9000000000000004</v>
      </c>
      <c r="I48" s="15">
        <v>92.57</v>
      </c>
      <c r="J48" s="15">
        <v>74.540000000000006</v>
      </c>
      <c r="K48" s="15">
        <v>3.53</v>
      </c>
      <c r="P48" s="15" t="s">
        <v>752</v>
      </c>
      <c r="Q48" s="15">
        <v>78.11</v>
      </c>
      <c r="R48" s="15">
        <v>9.26</v>
      </c>
      <c r="S48" s="14">
        <f t="shared" si="0"/>
        <v>0.42764705882353304</v>
      </c>
      <c r="T48" s="14">
        <f t="shared" si="1"/>
        <v>2.3638655462184488</v>
      </c>
      <c r="U48" s="14">
        <f t="shared" si="2"/>
        <v>0.18288200692041834</v>
      </c>
      <c r="V48" s="14">
        <f t="shared" si="3"/>
        <v>5.5878603205986455</v>
      </c>
      <c r="W48" s="14">
        <f t="shared" si="4"/>
        <v>1.0109001482946041</v>
      </c>
    </row>
    <row r="49" spans="1:23" x14ac:dyDescent="0.25">
      <c r="A49" s="15" t="s">
        <v>760</v>
      </c>
      <c r="B49" s="15">
        <v>72.02</v>
      </c>
      <c r="C49" s="15">
        <v>7.29</v>
      </c>
      <c r="D49" s="15">
        <v>23591.06</v>
      </c>
      <c r="E49" s="15">
        <v>11.43</v>
      </c>
      <c r="F49" s="15">
        <v>93.94</v>
      </c>
      <c r="G49" s="15">
        <v>14.79</v>
      </c>
      <c r="H49" s="15">
        <v>5.55</v>
      </c>
      <c r="I49" s="15">
        <v>86.4</v>
      </c>
      <c r="J49" s="15">
        <v>76.56</v>
      </c>
      <c r="K49" s="15">
        <v>3.23</v>
      </c>
      <c r="P49" s="15" t="s">
        <v>756</v>
      </c>
      <c r="Q49" s="15">
        <v>75.53</v>
      </c>
      <c r="R49" s="15">
        <v>7.88</v>
      </c>
      <c r="S49" s="14">
        <f t="shared" si="0"/>
        <v>-0.95235294117646685</v>
      </c>
      <c r="T49" s="14">
        <f t="shared" si="1"/>
        <v>-0.2161344537815495</v>
      </c>
      <c r="U49" s="14">
        <f t="shared" si="2"/>
        <v>0.9069761245674669</v>
      </c>
      <c r="V49" s="14">
        <f t="shared" si="3"/>
        <v>4.6714102111448753E-2</v>
      </c>
      <c r="W49" s="14">
        <f t="shared" si="4"/>
        <v>0.2058362827484278</v>
      </c>
    </row>
    <row r="50" spans="1:23" x14ac:dyDescent="0.25">
      <c r="A50" s="15" t="s">
        <v>764</v>
      </c>
      <c r="B50" s="15">
        <v>71.42</v>
      </c>
      <c r="C50" s="15">
        <v>7.26</v>
      </c>
      <c r="D50" s="15">
        <v>19776.060000000001</v>
      </c>
      <c r="E50" s="15">
        <v>11.42</v>
      </c>
      <c r="F50" s="15">
        <v>90.81</v>
      </c>
      <c r="G50" s="15">
        <v>10.91</v>
      </c>
      <c r="H50" s="15">
        <v>5.16</v>
      </c>
      <c r="I50" s="15">
        <v>85.85</v>
      </c>
      <c r="J50" s="15">
        <v>73.510000000000005</v>
      </c>
      <c r="K50" s="15">
        <v>3.67</v>
      </c>
      <c r="P50" s="15" t="s">
        <v>760</v>
      </c>
      <c r="Q50" s="15">
        <v>72.02</v>
      </c>
      <c r="R50" s="15">
        <v>7.29</v>
      </c>
      <c r="S50" s="14">
        <f t="shared" si="0"/>
        <v>-1.5423529411764667</v>
      </c>
      <c r="T50" s="14">
        <f t="shared" si="1"/>
        <v>-3.7261344537815546</v>
      </c>
      <c r="U50" s="14">
        <f t="shared" si="2"/>
        <v>2.3788525951556974</v>
      </c>
      <c r="V50" s="14">
        <f t="shared" si="3"/>
        <v>13.884077967657964</v>
      </c>
      <c r="W50" s="14">
        <f t="shared" si="4"/>
        <v>5.747014434008948</v>
      </c>
    </row>
    <row r="51" spans="1:23" x14ac:dyDescent="0.25">
      <c r="A51" s="15" t="s">
        <v>768</v>
      </c>
      <c r="B51" s="15">
        <v>72.53</v>
      </c>
      <c r="C51" s="15">
        <v>7.73</v>
      </c>
      <c r="D51" s="15">
        <v>16248.58</v>
      </c>
      <c r="E51" s="15">
        <v>14.02</v>
      </c>
      <c r="F51" s="15">
        <v>94.89</v>
      </c>
      <c r="G51" s="15">
        <v>24.39</v>
      </c>
      <c r="H51" s="15">
        <v>5.61</v>
      </c>
      <c r="I51" s="15">
        <v>88.45</v>
      </c>
      <c r="J51" s="15">
        <v>74.5</v>
      </c>
      <c r="K51" s="15">
        <v>2.84</v>
      </c>
      <c r="P51" s="15" t="s">
        <v>764</v>
      </c>
      <c r="Q51" s="15">
        <v>71.42</v>
      </c>
      <c r="R51" s="15">
        <v>7.26</v>
      </c>
      <c r="S51" s="14">
        <f t="shared" si="0"/>
        <v>-1.572352941176467</v>
      </c>
      <c r="T51" s="14">
        <f t="shared" si="1"/>
        <v>-4.3261344537815489</v>
      </c>
      <c r="U51" s="14">
        <f t="shared" si="2"/>
        <v>2.4722937716262861</v>
      </c>
      <c r="V51" s="14">
        <f t="shared" si="3"/>
        <v>18.71543931219578</v>
      </c>
      <c r="W51" s="14">
        <f t="shared" si="4"/>
        <v>6.8022102323282665</v>
      </c>
    </row>
    <row r="52" spans="1:23" x14ac:dyDescent="0.25">
      <c r="A52" s="15" t="s">
        <v>772</v>
      </c>
      <c r="B52" s="15">
        <v>74.099999999999994</v>
      </c>
      <c r="C52" s="15">
        <v>7.82</v>
      </c>
      <c r="D52" s="15">
        <v>36780.74</v>
      </c>
      <c r="E52" s="15">
        <v>9.17</v>
      </c>
      <c r="F52" s="15">
        <v>96.33</v>
      </c>
      <c r="G52" s="15">
        <v>28.78</v>
      </c>
      <c r="H52" s="15">
        <v>6.26</v>
      </c>
      <c r="I52" s="15">
        <v>92.46</v>
      </c>
      <c r="J52" s="15">
        <v>76.75</v>
      </c>
      <c r="K52" s="15">
        <v>3.87</v>
      </c>
      <c r="P52" s="15" t="s">
        <v>768</v>
      </c>
      <c r="Q52" s="15">
        <v>72.53</v>
      </c>
      <c r="R52" s="15">
        <v>7.73</v>
      </c>
      <c r="S52" s="14">
        <f t="shared" si="0"/>
        <v>-1.1023529411764663</v>
      </c>
      <c r="T52" s="14">
        <f t="shared" si="1"/>
        <v>-3.2161344537815495</v>
      </c>
      <c r="U52" s="14">
        <f t="shared" si="2"/>
        <v>1.2151820069204058</v>
      </c>
      <c r="V52" s="14">
        <f t="shared" si="3"/>
        <v>10.343520824800745</v>
      </c>
      <c r="W52" s="14">
        <f t="shared" si="4"/>
        <v>3.5453152743450591</v>
      </c>
    </row>
    <row r="53" spans="1:23" x14ac:dyDescent="0.25">
      <c r="A53" s="15" t="s">
        <v>776</v>
      </c>
      <c r="B53" s="15">
        <v>77.209999999999994</v>
      </c>
      <c r="C53" s="15">
        <v>9.35</v>
      </c>
      <c r="D53" s="15">
        <v>75010.789999999994</v>
      </c>
      <c r="E53" s="15">
        <v>7.23</v>
      </c>
      <c r="F53" s="15">
        <v>95.9</v>
      </c>
      <c r="G53" s="15">
        <v>77.709999999999994</v>
      </c>
      <c r="H53" s="15">
        <v>1.76</v>
      </c>
      <c r="I53" s="15">
        <v>93.92</v>
      </c>
      <c r="J53" s="15">
        <v>75.53</v>
      </c>
      <c r="K53" s="15">
        <v>3.19</v>
      </c>
      <c r="P53" s="15" t="s">
        <v>772</v>
      </c>
      <c r="Q53" s="15">
        <v>74.099999999999994</v>
      </c>
      <c r="R53" s="15">
        <v>7.82</v>
      </c>
      <c r="S53" s="14">
        <f t="shared" si="0"/>
        <v>-1.0123529411764665</v>
      </c>
      <c r="T53" s="14">
        <f t="shared" si="1"/>
        <v>-1.6461344537815563</v>
      </c>
      <c r="U53" s="14">
        <f t="shared" si="2"/>
        <v>1.0248584775086422</v>
      </c>
      <c r="V53" s="14">
        <f t="shared" si="3"/>
        <v>2.7097586399267026</v>
      </c>
      <c r="W53" s="14">
        <f t="shared" si="4"/>
        <v>1.6664690558576747</v>
      </c>
    </row>
    <row r="54" spans="1:23" x14ac:dyDescent="0.25">
      <c r="A54" s="15" t="s">
        <v>780</v>
      </c>
      <c r="B54" s="15">
        <v>74.319999999999993</v>
      </c>
      <c r="C54" s="15">
        <v>8.27</v>
      </c>
      <c r="D54" s="15">
        <v>25482.07</v>
      </c>
      <c r="E54" s="15">
        <v>6.09</v>
      </c>
      <c r="F54" s="15">
        <v>68.05</v>
      </c>
      <c r="G54" s="15">
        <v>34.01</v>
      </c>
      <c r="H54" s="15">
        <v>2.97</v>
      </c>
      <c r="I54" s="15">
        <v>91.63</v>
      </c>
      <c r="J54" s="15">
        <v>71.94</v>
      </c>
      <c r="K54" s="15">
        <v>3.34</v>
      </c>
      <c r="P54" s="15" t="s">
        <v>776</v>
      </c>
      <c r="Q54" s="15">
        <v>77.209999999999994</v>
      </c>
      <c r="R54" s="15">
        <v>9.35</v>
      </c>
      <c r="S54" s="14">
        <f t="shared" si="0"/>
        <v>0.5176470588235329</v>
      </c>
      <c r="T54" s="14">
        <f t="shared" si="1"/>
        <v>1.4638655462184431</v>
      </c>
      <c r="U54" s="14">
        <f t="shared" si="2"/>
        <v>0.26795847750865415</v>
      </c>
      <c r="V54" s="14">
        <f t="shared" si="3"/>
        <v>2.1429023374054208</v>
      </c>
      <c r="W54" s="14">
        <f t="shared" si="4"/>
        <v>0.75776569451308151</v>
      </c>
    </row>
    <row r="55" spans="1:23" x14ac:dyDescent="0.25">
      <c r="A55" s="15" t="s">
        <v>784</v>
      </c>
      <c r="B55" s="15">
        <v>74.569999999999993</v>
      </c>
      <c r="C55" s="15">
        <v>8.2799999999999994</v>
      </c>
      <c r="D55" s="15">
        <v>21894.6</v>
      </c>
      <c r="E55" s="15">
        <v>11.89</v>
      </c>
      <c r="F55" s="15">
        <v>95.13</v>
      </c>
      <c r="G55" s="15">
        <v>31.66</v>
      </c>
      <c r="H55" s="15">
        <v>4.7699999999999996</v>
      </c>
      <c r="I55" s="15">
        <v>91.19</v>
      </c>
      <c r="J55" s="15">
        <v>72.36</v>
      </c>
      <c r="K55" s="15">
        <v>4.75</v>
      </c>
      <c r="P55" s="15" t="s">
        <v>780</v>
      </c>
      <c r="Q55" s="15">
        <v>74.319999999999993</v>
      </c>
      <c r="R55" s="15">
        <v>8.27</v>
      </c>
      <c r="S55" s="14">
        <f t="shared" si="0"/>
        <v>-0.56235294117646717</v>
      </c>
      <c r="T55" s="14">
        <f t="shared" si="1"/>
        <v>-1.4261344537815575</v>
      </c>
      <c r="U55" s="14">
        <f t="shared" si="2"/>
        <v>0.31624083044982315</v>
      </c>
      <c r="V55" s="14">
        <f t="shared" si="3"/>
        <v>2.0338594802628212</v>
      </c>
      <c r="W55" s="14">
        <f t="shared" si="4"/>
        <v>0.80199090459715328</v>
      </c>
    </row>
    <row r="56" spans="1:23" x14ac:dyDescent="0.25">
      <c r="A56" s="15" t="s">
        <v>787</v>
      </c>
      <c r="B56" s="15">
        <v>75.67</v>
      </c>
      <c r="C56" s="15">
        <v>8.16</v>
      </c>
      <c r="D56" s="15">
        <v>41529.4</v>
      </c>
      <c r="E56" s="15">
        <v>6.96</v>
      </c>
      <c r="F56" s="15">
        <v>86.32</v>
      </c>
      <c r="G56" s="15">
        <v>38.71</v>
      </c>
      <c r="H56" s="15">
        <v>3.86</v>
      </c>
      <c r="I56" s="15">
        <v>96.63</v>
      </c>
      <c r="J56" s="15">
        <v>79.290000000000006</v>
      </c>
      <c r="K56" s="15">
        <v>3.73</v>
      </c>
      <c r="P56" s="15" t="s">
        <v>784</v>
      </c>
      <c r="Q56" s="15">
        <v>74.569999999999993</v>
      </c>
      <c r="R56" s="15">
        <v>8.2799999999999994</v>
      </c>
      <c r="S56" s="14">
        <f t="shared" si="0"/>
        <v>-0.55235294117646738</v>
      </c>
      <c r="T56" s="14">
        <f t="shared" si="1"/>
        <v>-1.1761344537815575</v>
      </c>
      <c r="U56" s="14">
        <f t="shared" si="2"/>
        <v>0.30509377162629403</v>
      </c>
      <c r="V56" s="14">
        <f t="shared" si="3"/>
        <v>1.3832922533720424</v>
      </c>
      <c r="W56" s="14">
        <f t="shared" si="4"/>
        <v>0.64964132476522118</v>
      </c>
    </row>
    <row r="57" spans="1:23" x14ac:dyDescent="0.25">
      <c r="A57" s="15" t="s">
        <v>791</v>
      </c>
      <c r="B57" s="15">
        <v>71.86</v>
      </c>
      <c r="C57" s="15">
        <v>7.53</v>
      </c>
      <c r="D57" s="15">
        <v>17855.599999999999</v>
      </c>
      <c r="E57" s="15">
        <v>8.67</v>
      </c>
      <c r="F57" s="15">
        <v>71.77</v>
      </c>
      <c r="G57" s="15">
        <v>25.53</v>
      </c>
      <c r="H57" s="15">
        <v>3.05</v>
      </c>
      <c r="I57" s="15">
        <v>96.13</v>
      </c>
      <c r="J57" s="15">
        <v>78.06</v>
      </c>
      <c r="K57" s="15">
        <v>2.35</v>
      </c>
      <c r="P57" s="15" t="s">
        <v>787</v>
      </c>
      <c r="Q57" s="15">
        <v>75.67</v>
      </c>
      <c r="R57" s="15">
        <v>8.16</v>
      </c>
      <c r="S57" s="14">
        <f t="shared" si="0"/>
        <v>-0.6723529411764666</v>
      </c>
      <c r="T57" s="14">
        <f t="shared" si="1"/>
        <v>-7.6134453781548928E-2</v>
      </c>
      <c r="U57" s="14">
        <f t="shared" si="2"/>
        <v>0.45205847750864514</v>
      </c>
      <c r="V57" s="14">
        <f t="shared" si="3"/>
        <v>5.7964550526148099E-3</v>
      </c>
      <c r="W57" s="14">
        <f t="shared" si="4"/>
        <v>5.1189223924888179E-2</v>
      </c>
    </row>
    <row r="58" spans="1:23" x14ac:dyDescent="0.25">
      <c r="A58" s="15" t="s">
        <v>795</v>
      </c>
      <c r="B58" s="15">
        <v>74.34</v>
      </c>
      <c r="C58" s="15">
        <v>7.74</v>
      </c>
      <c r="D58" s="15">
        <v>37201.449999999997</v>
      </c>
      <c r="E58" s="15">
        <v>9.35</v>
      </c>
      <c r="F58" s="15">
        <v>83.05</v>
      </c>
      <c r="G58" s="15">
        <v>41.7</v>
      </c>
      <c r="H58" s="15">
        <v>4.3600000000000003</v>
      </c>
      <c r="I58" s="15">
        <v>94.29</v>
      </c>
      <c r="J58" s="15">
        <v>76.849999999999994</v>
      </c>
      <c r="K58" s="15">
        <v>5.01</v>
      </c>
      <c r="P58" s="15" t="s">
        <v>791</v>
      </c>
      <c r="Q58" s="15">
        <v>71.86</v>
      </c>
      <c r="R58" s="15">
        <v>7.53</v>
      </c>
      <c r="S58" s="14">
        <f t="shared" si="0"/>
        <v>-1.3023529411764665</v>
      </c>
      <c r="T58" s="14">
        <f t="shared" si="1"/>
        <v>-3.8861344537815512</v>
      </c>
      <c r="U58" s="14">
        <f t="shared" si="2"/>
        <v>1.6961231833909929</v>
      </c>
      <c r="V58" s="14">
        <f t="shared" si="3"/>
        <v>15.102040992868035</v>
      </c>
      <c r="W58" s="14">
        <f t="shared" si="4"/>
        <v>5.0611186356896045</v>
      </c>
    </row>
    <row r="59" spans="1:23" x14ac:dyDescent="0.25">
      <c r="A59" s="15" t="s">
        <v>799</v>
      </c>
      <c r="B59" s="15">
        <v>70.73</v>
      </c>
      <c r="C59" s="15">
        <v>7.08</v>
      </c>
      <c r="D59" s="15">
        <v>18693.22</v>
      </c>
      <c r="E59" s="15">
        <v>8.73</v>
      </c>
      <c r="F59" s="15">
        <v>65.92</v>
      </c>
      <c r="G59" s="15">
        <v>34.89</v>
      </c>
      <c r="H59" s="15">
        <v>5.29</v>
      </c>
      <c r="I59" s="15">
        <v>92.59</v>
      </c>
      <c r="J59" s="15">
        <v>77.91</v>
      </c>
      <c r="K59" s="15">
        <v>5.67</v>
      </c>
      <c r="P59" s="15" t="s">
        <v>795</v>
      </c>
      <c r="Q59" s="15">
        <v>74.34</v>
      </c>
      <c r="R59" s="15">
        <v>7.74</v>
      </c>
      <c r="S59" s="14">
        <f t="shared" si="0"/>
        <v>-1.0923529411764665</v>
      </c>
      <c r="T59" s="14">
        <f t="shared" si="1"/>
        <v>-1.4061344537815472</v>
      </c>
      <c r="U59" s="14">
        <f t="shared" si="2"/>
        <v>1.1932349480968769</v>
      </c>
      <c r="V59" s="14">
        <f t="shared" si="3"/>
        <v>1.9772141021115301</v>
      </c>
      <c r="W59" s="14">
        <f t="shared" si="4"/>
        <v>1.5359951062778374</v>
      </c>
    </row>
    <row r="60" spans="1:23" x14ac:dyDescent="0.25">
      <c r="A60" s="15" t="s">
        <v>803</v>
      </c>
      <c r="B60" s="15">
        <v>71.95</v>
      </c>
      <c r="C60" s="15">
        <v>7.48</v>
      </c>
      <c r="D60" s="15">
        <v>19283.060000000001</v>
      </c>
      <c r="E60" s="15">
        <v>8.9499999999999993</v>
      </c>
      <c r="F60" s="15">
        <v>82.61</v>
      </c>
      <c r="G60" s="15">
        <v>29.66</v>
      </c>
      <c r="H60" s="15">
        <v>2.96</v>
      </c>
      <c r="I60" s="15">
        <v>92.87</v>
      </c>
      <c r="J60" s="15">
        <v>76.38</v>
      </c>
      <c r="K60" s="15">
        <v>3.3</v>
      </c>
      <c r="P60" s="15" t="s">
        <v>799</v>
      </c>
      <c r="Q60" s="15">
        <v>70.73</v>
      </c>
      <c r="R60" s="15">
        <v>7.08</v>
      </c>
      <c r="S60" s="14">
        <f t="shared" si="0"/>
        <v>-1.7523529411764667</v>
      </c>
      <c r="T60" s="14">
        <f t="shared" si="1"/>
        <v>-5.0161344537815467</v>
      </c>
      <c r="U60" s="14">
        <f t="shared" si="2"/>
        <v>3.0707408304498132</v>
      </c>
      <c r="V60" s="14">
        <f t="shared" si="3"/>
        <v>25.161604858414297</v>
      </c>
      <c r="W60" s="14">
        <f t="shared" si="4"/>
        <v>8.7900379634207031</v>
      </c>
    </row>
    <row r="61" spans="1:23" x14ac:dyDescent="0.25">
      <c r="A61" s="15" t="s">
        <v>807</v>
      </c>
      <c r="B61" s="15">
        <v>68.650000000000006</v>
      </c>
      <c r="C61" s="15">
        <v>6.56</v>
      </c>
      <c r="D61" s="15">
        <v>21778.06</v>
      </c>
      <c r="E61" s="15">
        <v>14.92</v>
      </c>
      <c r="F61" s="15">
        <v>84.32</v>
      </c>
      <c r="G61" s="15">
        <v>22.51</v>
      </c>
      <c r="H61" s="15">
        <v>4.34</v>
      </c>
      <c r="I61" s="15">
        <v>87.3</v>
      </c>
      <c r="J61" s="15">
        <v>72.239999999999995</v>
      </c>
      <c r="K61" s="15">
        <v>6.63</v>
      </c>
      <c r="P61" s="15" t="s">
        <v>803</v>
      </c>
      <c r="Q61" s="15">
        <v>71.95</v>
      </c>
      <c r="R61" s="15">
        <v>7.48</v>
      </c>
      <c r="S61" s="14">
        <f t="shared" si="0"/>
        <v>-1.3523529411764663</v>
      </c>
      <c r="T61" s="14">
        <f t="shared" si="1"/>
        <v>-3.7961344537815478</v>
      </c>
      <c r="U61" s="14">
        <f t="shared" si="2"/>
        <v>1.8288584775086389</v>
      </c>
      <c r="V61" s="14">
        <f t="shared" si="3"/>
        <v>14.410636791187331</v>
      </c>
      <c r="W61" s="14">
        <f t="shared" si="4"/>
        <v>5.1337135936727947</v>
      </c>
    </row>
    <row r="62" spans="1:23" x14ac:dyDescent="0.25">
      <c r="A62" s="15" t="s">
        <v>811</v>
      </c>
      <c r="B62" s="15">
        <v>71.7</v>
      </c>
      <c r="C62" s="15">
        <v>7.36</v>
      </c>
      <c r="D62" s="15">
        <v>29444.38</v>
      </c>
      <c r="E62" s="15">
        <v>6.81</v>
      </c>
      <c r="F62" s="15">
        <v>87.09</v>
      </c>
      <c r="G62" s="15">
        <v>36.450000000000003</v>
      </c>
      <c r="H62" s="15">
        <v>3.87</v>
      </c>
      <c r="I62" s="15">
        <v>88.72</v>
      </c>
      <c r="J62" s="15">
        <v>73.489999999999995</v>
      </c>
      <c r="K62" s="15">
        <v>7.53</v>
      </c>
      <c r="P62" s="15" t="s">
        <v>807</v>
      </c>
      <c r="Q62" s="15">
        <v>68.650000000000006</v>
      </c>
      <c r="R62" s="15">
        <v>6.56</v>
      </c>
      <c r="S62" s="14">
        <f t="shared" si="0"/>
        <v>-2.2723529411764671</v>
      </c>
      <c r="T62" s="14">
        <f t="shared" si="1"/>
        <v>-7.0961344537815449</v>
      </c>
      <c r="U62" s="14">
        <f t="shared" si="2"/>
        <v>5.1635878892733409</v>
      </c>
      <c r="V62" s="14">
        <f t="shared" si="3"/>
        <v>50.355124186145503</v>
      </c>
      <c r="W62" s="14">
        <f t="shared" si="4"/>
        <v>16.124921997034157</v>
      </c>
    </row>
    <row r="63" spans="1:23" x14ac:dyDescent="0.25">
      <c r="A63" s="15" t="s">
        <v>815</v>
      </c>
      <c r="B63" s="15">
        <v>70.180000000000007</v>
      </c>
      <c r="C63" s="15">
        <v>6.41</v>
      </c>
      <c r="D63" s="15">
        <v>38546.980000000003</v>
      </c>
      <c r="E63" s="15">
        <v>15.6</v>
      </c>
      <c r="F63" s="15">
        <v>85.85</v>
      </c>
      <c r="G63" s="15">
        <v>19.309999999999999</v>
      </c>
      <c r="H63" s="15">
        <v>6.16</v>
      </c>
      <c r="I63" s="15">
        <v>87.54</v>
      </c>
      <c r="J63" s="15">
        <v>71.92</v>
      </c>
      <c r="K63" s="15">
        <v>8.35</v>
      </c>
      <c r="P63" s="15" t="s">
        <v>811</v>
      </c>
      <c r="Q63" s="15">
        <v>71.7</v>
      </c>
      <c r="R63" s="15">
        <v>7.36</v>
      </c>
      <c r="S63" s="14">
        <f t="shared" si="0"/>
        <v>-1.4723529411764664</v>
      </c>
      <c r="T63" s="14">
        <f t="shared" si="1"/>
        <v>-4.0461344537815478</v>
      </c>
      <c r="U63" s="14">
        <f t="shared" si="2"/>
        <v>2.1678231833909911</v>
      </c>
      <c r="V63" s="14">
        <f t="shared" si="3"/>
        <v>16.371204018078103</v>
      </c>
      <c r="W63" s="14">
        <f t="shared" si="4"/>
        <v>5.9573379634206978</v>
      </c>
    </row>
    <row r="64" spans="1:23" x14ac:dyDescent="0.25">
      <c r="A64" s="15" t="s">
        <v>818</v>
      </c>
      <c r="B64" s="15">
        <v>82.15</v>
      </c>
      <c r="C64" s="15">
        <v>11.43</v>
      </c>
      <c r="D64" s="15">
        <v>7668.79</v>
      </c>
      <c r="E64" s="15">
        <v>5.94</v>
      </c>
      <c r="F64" s="15">
        <v>88.55</v>
      </c>
      <c r="G64" s="15">
        <v>16.489999999999998</v>
      </c>
      <c r="H64" s="15">
        <v>4.09</v>
      </c>
      <c r="I64" s="15">
        <v>96.66</v>
      </c>
      <c r="J64" s="15">
        <v>67.66</v>
      </c>
      <c r="K64" s="15">
        <v>4.4000000000000004</v>
      </c>
      <c r="P64" s="15" t="s">
        <v>815</v>
      </c>
      <c r="Q64" s="15">
        <v>70.180000000000007</v>
      </c>
      <c r="R64" s="15">
        <v>6.41</v>
      </c>
      <c r="S64" s="14">
        <f t="shared" si="0"/>
        <v>-2.4223529411764666</v>
      </c>
      <c r="T64" s="14">
        <f t="shared" si="1"/>
        <v>-5.5661344537815438</v>
      </c>
      <c r="U64" s="14">
        <f t="shared" si="2"/>
        <v>5.8677937716262782</v>
      </c>
      <c r="V64" s="14">
        <f t="shared" si="3"/>
        <v>30.981852757573964</v>
      </c>
      <c r="W64" s="14">
        <f t="shared" si="4"/>
        <v>13.483142165101388</v>
      </c>
    </row>
    <row r="65" spans="1:23" x14ac:dyDescent="0.25">
      <c r="A65" s="15" t="s">
        <v>821</v>
      </c>
      <c r="B65" s="15">
        <v>84.41</v>
      </c>
      <c r="C65" s="15">
        <v>11.25</v>
      </c>
      <c r="D65" s="15">
        <v>42897.32</v>
      </c>
      <c r="E65" s="15">
        <v>8.31</v>
      </c>
      <c r="F65" s="15">
        <v>85.07</v>
      </c>
      <c r="G65" s="15">
        <v>8.5500000000000007</v>
      </c>
      <c r="H65" s="15">
        <v>2.86</v>
      </c>
      <c r="I65" s="15">
        <v>97.43</v>
      </c>
      <c r="J65" s="15">
        <v>67.42</v>
      </c>
      <c r="K65" s="15">
        <v>4.6100000000000003</v>
      </c>
      <c r="P65" s="15" t="s">
        <v>818</v>
      </c>
      <c r="Q65" s="15">
        <v>82.15</v>
      </c>
      <c r="R65" s="15">
        <v>11.43</v>
      </c>
      <c r="S65" s="14">
        <f t="shared" si="0"/>
        <v>2.597647058823533</v>
      </c>
      <c r="T65" s="14">
        <f t="shared" si="1"/>
        <v>6.4038655462184551</v>
      </c>
      <c r="U65" s="14">
        <f t="shared" si="2"/>
        <v>6.7477702422145516</v>
      </c>
      <c r="V65" s="14">
        <f t="shared" si="3"/>
        <v>41.009493934043789</v>
      </c>
      <c r="W65" s="14">
        <f t="shared" si="4"/>
        <v>16.634982501235726</v>
      </c>
    </row>
    <row r="66" spans="1:23" x14ac:dyDescent="0.25">
      <c r="A66" s="15" t="s">
        <v>824</v>
      </c>
      <c r="B66" s="15">
        <v>85.72</v>
      </c>
      <c r="C66" s="15">
        <v>11.48</v>
      </c>
      <c r="D66" s="15">
        <v>11505.05</v>
      </c>
      <c r="E66" s="15">
        <v>4.57</v>
      </c>
      <c r="F66" s="15">
        <v>96.28</v>
      </c>
      <c r="G66" s="15">
        <v>33.14</v>
      </c>
      <c r="H66" s="15">
        <v>3.77</v>
      </c>
      <c r="I66" s="15">
        <v>95.49</v>
      </c>
      <c r="J66" s="15">
        <v>70.72</v>
      </c>
      <c r="K66" s="15">
        <v>3.86</v>
      </c>
      <c r="P66" s="15" t="s">
        <v>821</v>
      </c>
      <c r="Q66" s="15">
        <v>84.41</v>
      </c>
      <c r="R66" s="15">
        <v>11.25</v>
      </c>
      <c r="S66" s="14">
        <f t="shared" si="0"/>
        <v>2.4176470588235333</v>
      </c>
      <c r="T66" s="14">
        <f t="shared" si="1"/>
        <v>8.663865546218446</v>
      </c>
      <c r="U66" s="14">
        <f t="shared" si="2"/>
        <v>5.845017301038081</v>
      </c>
      <c r="V66" s="14">
        <f t="shared" si="3"/>
        <v>75.062566202951047</v>
      </c>
      <c r="W66" s="14">
        <f t="shared" si="4"/>
        <v>20.94616905585757</v>
      </c>
    </row>
    <row r="67" spans="1:23" x14ac:dyDescent="0.25">
      <c r="A67" s="15" t="s">
        <v>827</v>
      </c>
      <c r="B67" s="15">
        <v>85.24</v>
      </c>
      <c r="C67" s="15">
        <v>11.05</v>
      </c>
      <c r="D67" s="15">
        <v>170947.72</v>
      </c>
      <c r="E67" s="15">
        <v>4.03</v>
      </c>
      <c r="F67" s="15">
        <v>95.83</v>
      </c>
      <c r="G67" s="15">
        <v>28.35</v>
      </c>
      <c r="H67" s="15">
        <v>2.4300000000000002</v>
      </c>
      <c r="I67" s="15">
        <v>96.28</v>
      </c>
      <c r="J67" s="15">
        <v>69.88</v>
      </c>
      <c r="K67" s="15">
        <v>5.82</v>
      </c>
      <c r="P67" s="15" t="s">
        <v>824</v>
      </c>
      <c r="Q67" s="15">
        <v>85.72</v>
      </c>
      <c r="R67" s="15">
        <v>11.48</v>
      </c>
      <c r="S67" s="14">
        <f t="shared" si="0"/>
        <v>2.6476470588235337</v>
      </c>
      <c r="T67" s="14">
        <f t="shared" si="1"/>
        <v>9.9738655462184482</v>
      </c>
      <c r="U67" s="14">
        <f t="shared" si="2"/>
        <v>7.0100349480969086</v>
      </c>
      <c r="V67" s="14">
        <f t="shared" si="3"/>
        <v>99.477993934043425</v>
      </c>
      <c r="W67" s="14">
        <f t="shared" si="4"/>
        <v>26.407275778546651</v>
      </c>
    </row>
    <row r="68" spans="1:23" x14ac:dyDescent="0.25">
      <c r="A68" s="15" t="s">
        <v>830</v>
      </c>
      <c r="B68" s="15">
        <v>77.209999999999994</v>
      </c>
      <c r="C68" s="15">
        <v>9.34</v>
      </c>
      <c r="D68" s="15">
        <v>8928.7999999999993</v>
      </c>
      <c r="E68" s="15">
        <v>6.71</v>
      </c>
      <c r="F68" s="15">
        <v>89.38</v>
      </c>
      <c r="G68" s="15">
        <v>19.86</v>
      </c>
      <c r="H68" s="15">
        <v>0.79</v>
      </c>
      <c r="I68" s="15">
        <v>95.49</v>
      </c>
      <c r="J68" s="15">
        <v>76.06</v>
      </c>
      <c r="K68" s="15">
        <v>4.91</v>
      </c>
      <c r="P68" s="15" t="s">
        <v>827</v>
      </c>
      <c r="Q68" s="15">
        <v>85.24</v>
      </c>
      <c r="R68" s="15">
        <v>11.05</v>
      </c>
      <c r="S68" s="14">
        <f t="shared" ref="S68:S121" si="5">(R68-$R$122)</f>
        <v>2.217647058823534</v>
      </c>
      <c r="T68" s="14">
        <f t="shared" ref="T68:T121" si="6">(Q68-$Q$122)</f>
        <v>9.4938655462184443</v>
      </c>
      <c r="U68" s="14">
        <f t="shared" ref="U68:U121" si="7">S68^2</f>
        <v>4.9179584775086704</v>
      </c>
      <c r="V68" s="14">
        <f t="shared" ref="V68:V121" si="8">T68^2</f>
        <v>90.13348300967364</v>
      </c>
      <c r="W68" s="14">
        <f t="shared" ref="W68:W121" si="9">S68*T68</f>
        <v>21.054043005437418</v>
      </c>
    </row>
    <row r="69" spans="1:23" x14ac:dyDescent="0.25">
      <c r="A69" s="15" t="s">
        <v>833</v>
      </c>
      <c r="B69" s="15">
        <v>77.5</v>
      </c>
      <c r="C69" s="15">
        <v>9.2799999999999994</v>
      </c>
      <c r="D69" s="15">
        <v>13119.7</v>
      </c>
      <c r="E69" s="15">
        <v>7.64</v>
      </c>
      <c r="F69" s="15">
        <v>92.48</v>
      </c>
      <c r="G69" s="15">
        <v>16.68</v>
      </c>
      <c r="H69" s="15">
        <v>5.19</v>
      </c>
      <c r="I69" s="15">
        <v>93.92</v>
      </c>
      <c r="J69" s="15">
        <v>69.61</v>
      </c>
      <c r="K69" s="15">
        <v>5.88</v>
      </c>
      <c r="P69" s="15" t="s">
        <v>830</v>
      </c>
      <c r="Q69" s="15">
        <v>77.209999999999994</v>
      </c>
      <c r="R69" s="15">
        <v>9.34</v>
      </c>
      <c r="S69" s="14">
        <f t="shared" si="5"/>
        <v>0.50764705882353311</v>
      </c>
      <c r="T69" s="14">
        <f t="shared" si="6"/>
        <v>1.4638655462184431</v>
      </c>
      <c r="U69" s="14">
        <f t="shared" si="7"/>
        <v>0.25770553633218368</v>
      </c>
      <c r="V69" s="14">
        <f t="shared" si="8"/>
        <v>2.1429023374054208</v>
      </c>
      <c r="W69" s="14">
        <f t="shared" si="9"/>
        <v>0.74312703905089739</v>
      </c>
    </row>
    <row r="70" spans="1:23" x14ac:dyDescent="0.25">
      <c r="A70" s="15" t="s">
        <v>838</v>
      </c>
      <c r="B70" s="15">
        <v>76.180000000000007</v>
      </c>
      <c r="C70" s="15">
        <v>9.1999999999999993</v>
      </c>
      <c r="D70" s="15">
        <v>10426.23</v>
      </c>
      <c r="E70" s="15">
        <v>15.62</v>
      </c>
      <c r="F70" s="15">
        <v>97.16</v>
      </c>
      <c r="G70" s="15">
        <v>10.11</v>
      </c>
      <c r="H70" s="15">
        <v>4.33</v>
      </c>
      <c r="I70" s="15">
        <v>95.86</v>
      </c>
      <c r="J70" s="15">
        <v>78.569999999999993</v>
      </c>
      <c r="K70" s="15">
        <v>2.0099999999999998</v>
      </c>
      <c r="P70" s="15" t="s">
        <v>833</v>
      </c>
      <c r="Q70" s="15">
        <v>77.5</v>
      </c>
      <c r="R70" s="15">
        <v>9.2799999999999994</v>
      </c>
      <c r="S70" s="14">
        <f t="shared" si="5"/>
        <v>0.44764705882353262</v>
      </c>
      <c r="T70" s="14">
        <f t="shared" si="6"/>
        <v>1.7538655462184494</v>
      </c>
      <c r="U70" s="14">
        <f t="shared" si="7"/>
        <v>0.20038788927335927</v>
      </c>
      <c r="V70" s="14">
        <f t="shared" si="8"/>
        <v>3.0760443542121396</v>
      </c>
      <c r="W70" s="14">
        <f t="shared" si="9"/>
        <v>0.78511275333661734</v>
      </c>
    </row>
    <row r="71" spans="1:23" x14ac:dyDescent="0.25">
      <c r="A71" s="15" t="s">
        <v>840</v>
      </c>
      <c r="B71" s="15">
        <v>82.05</v>
      </c>
      <c r="C71" s="15">
        <v>9.81</v>
      </c>
      <c r="D71" s="15">
        <v>22964.66</v>
      </c>
      <c r="E71" s="15">
        <v>11.66</v>
      </c>
      <c r="F71" s="15">
        <v>96.46</v>
      </c>
      <c r="G71" s="15">
        <v>14.08</v>
      </c>
      <c r="H71" s="15">
        <v>3.75</v>
      </c>
      <c r="I71" s="15">
        <v>96.05</v>
      </c>
      <c r="J71" s="15">
        <v>74.87</v>
      </c>
      <c r="K71" s="15">
        <v>3.62</v>
      </c>
      <c r="P71" s="15" t="s">
        <v>838</v>
      </c>
      <c r="Q71" s="15">
        <v>76.180000000000007</v>
      </c>
      <c r="R71" s="15">
        <v>9.1999999999999993</v>
      </c>
      <c r="S71" s="14">
        <f t="shared" si="5"/>
        <v>0.36764705882353255</v>
      </c>
      <c r="T71" s="14">
        <f t="shared" si="6"/>
        <v>0.43386554621845619</v>
      </c>
      <c r="U71" s="14">
        <f t="shared" si="7"/>
        <v>0.135164359861594</v>
      </c>
      <c r="V71" s="14">
        <f t="shared" si="8"/>
        <v>0.18823931219543935</v>
      </c>
      <c r="W71" s="14">
        <f t="shared" si="9"/>
        <v>0.15950939199208083</v>
      </c>
    </row>
    <row r="72" spans="1:23" x14ac:dyDescent="0.25">
      <c r="A72" s="15" t="s">
        <v>843</v>
      </c>
      <c r="B72" s="15">
        <v>72.14</v>
      </c>
      <c r="C72" s="15">
        <v>7.35</v>
      </c>
      <c r="D72" s="15">
        <v>16506.419999999998</v>
      </c>
      <c r="E72" s="15">
        <v>15.18</v>
      </c>
      <c r="F72" s="15">
        <v>97.63</v>
      </c>
      <c r="G72" s="15">
        <v>8.3800000000000008</v>
      </c>
      <c r="H72" s="15">
        <v>3.76</v>
      </c>
      <c r="I72" s="15">
        <v>87.13</v>
      </c>
      <c r="J72" s="15">
        <v>76.87</v>
      </c>
      <c r="K72" s="15">
        <v>2.16</v>
      </c>
      <c r="P72" s="15" t="s">
        <v>840</v>
      </c>
      <c r="Q72" s="15">
        <v>82.05</v>
      </c>
      <c r="R72" s="15">
        <v>9.81</v>
      </c>
      <c r="S72" s="14">
        <f t="shared" si="5"/>
        <v>0.97764705882353375</v>
      </c>
      <c r="T72" s="14">
        <f t="shared" si="6"/>
        <v>6.3038655462184465</v>
      </c>
      <c r="U72" s="14">
        <f t="shared" si="7"/>
        <v>0.95579377162630608</v>
      </c>
      <c r="V72" s="14">
        <f t="shared" si="8"/>
        <v>39.738720824799991</v>
      </c>
      <c r="W72" s="14">
        <f t="shared" si="9"/>
        <v>6.1629556104794734</v>
      </c>
    </row>
    <row r="73" spans="1:23" x14ac:dyDescent="0.25">
      <c r="A73" s="15" t="s">
        <v>847</v>
      </c>
      <c r="B73" s="15">
        <v>85.71</v>
      </c>
      <c r="C73" s="15">
        <v>11.33</v>
      </c>
      <c r="D73" s="15">
        <v>41560</v>
      </c>
      <c r="E73" s="15">
        <v>7.46</v>
      </c>
      <c r="F73" s="15">
        <v>96.43</v>
      </c>
      <c r="G73" s="15">
        <v>12.37</v>
      </c>
      <c r="H73" s="15">
        <v>2.88</v>
      </c>
      <c r="I73" s="15">
        <v>97.11</v>
      </c>
      <c r="J73" s="15">
        <v>73.27</v>
      </c>
      <c r="K73" s="15">
        <v>4.13</v>
      </c>
      <c r="P73" s="15" t="s">
        <v>843</v>
      </c>
      <c r="Q73" s="15">
        <v>72.14</v>
      </c>
      <c r="R73" s="15">
        <v>7.35</v>
      </c>
      <c r="S73" s="14">
        <f t="shared" si="5"/>
        <v>-1.4823529411764671</v>
      </c>
      <c r="T73" s="14">
        <f t="shared" si="6"/>
        <v>-3.6061344537815501</v>
      </c>
      <c r="U73" s="14">
        <f t="shared" si="7"/>
        <v>2.1973702422145225</v>
      </c>
      <c r="V73" s="14">
        <f t="shared" si="8"/>
        <v>13.004205698750358</v>
      </c>
      <c r="W73" s="14">
        <f t="shared" si="9"/>
        <v>5.3455640138408738</v>
      </c>
    </row>
    <row r="74" spans="1:23" x14ac:dyDescent="0.25">
      <c r="A74" s="15" t="s">
        <v>851</v>
      </c>
      <c r="B74" s="15">
        <v>89.1</v>
      </c>
      <c r="C74" s="15">
        <v>12.12</v>
      </c>
      <c r="D74" s="15">
        <v>32964.35</v>
      </c>
      <c r="E74" s="15">
        <v>6.26</v>
      </c>
      <c r="F74" s="15">
        <v>96.27</v>
      </c>
      <c r="G74" s="15">
        <v>12.02</v>
      </c>
      <c r="H74" s="15">
        <v>3.51</v>
      </c>
      <c r="I74" s="15">
        <v>99.25</v>
      </c>
      <c r="J74" s="15">
        <v>70.56</v>
      </c>
      <c r="K74" s="15">
        <v>5.8</v>
      </c>
      <c r="P74" s="15" t="s">
        <v>847</v>
      </c>
      <c r="Q74" s="15">
        <v>85.71</v>
      </c>
      <c r="R74" s="15">
        <v>11.33</v>
      </c>
      <c r="S74" s="14">
        <f t="shared" si="5"/>
        <v>2.4976470588235333</v>
      </c>
      <c r="T74" s="14">
        <f t="shared" si="6"/>
        <v>9.9638655462184431</v>
      </c>
      <c r="U74" s="14">
        <f t="shared" si="7"/>
        <v>6.2382408304498469</v>
      </c>
      <c r="V74" s="14">
        <f t="shared" si="8"/>
        <v>99.27861662311895</v>
      </c>
      <c r="W74" s="14">
        <f t="shared" si="9"/>
        <v>24.886219476025634</v>
      </c>
    </row>
    <row r="75" spans="1:23" x14ac:dyDescent="0.25">
      <c r="A75" s="15" t="s">
        <v>856</v>
      </c>
      <c r="B75" s="15">
        <v>71.489999999999995</v>
      </c>
      <c r="C75" s="15">
        <v>7.9</v>
      </c>
      <c r="D75" s="15">
        <v>12775.8</v>
      </c>
      <c r="E75" s="15">
        <v>13.08</v>
      </c>
      <c r="F75" s="15">
        <v>81.260000000000005</v>
      </c>
      <c r="G75" s="15">
        <v>7.71</v>
      </c>
      <c r="H75" s="15">
        <v>7.14</v>
      </c>
      <c r="I75" s="15">
        <v>87.11</v>
      </c>
      <c r="J75" s="15">
        <v>86.62</v>
      </c>
      <c r="K75" s="15">
        <v>1.56</v>
      </c>
      <c r="P75" s="15" t="s">
        <v>851</v>
      </c>
      <c r="Q75" s="15">
        <v>89.1</v>
      </c>
      <c r="R75" s="15">
        <v>12.12</v>
      </c>
      <c r="S75" s="14">
        <f t="shared" si="5"/>
        <v>3.2876470588235325</v>
      </c>
      <c r="T75" s="14">
        <f t="shared" si="6"/>
        <v>13.353865546218444</v>
      </c>
      <c r="U75" s="14">
        <f t="shared" si="7"/>
        <v>10.808623183391024</v>
      </c>
      <c r="V75" s="14">
        <f t="shared" si="8"/>
        <v>178.32572502648</v>
      </c>
      <c r="W75" s="14">
        <f t="shared" si="9"/>
        <v>43.90279678694997</v>
      </c>
    </row>
    <row r="76" spans="1:23" x14ac:dyDescent="0.25">
      <c r="A76" s="15" t="s">
        <v>860</v>
      </c>
      <c r="B76" s="15">
        <v>73.7</v>
      </c>
      <c r="C76" s="15">
        <v>7.8</v>
      </c>
      <c r="D76" s="15">
        <v>16622.8</v>
      </c>
      <c r="E76" s="15">
        <v>9.11</v>
      </c>
      <c r="F76" s="15">
        <v>92.57</v>
      </c>
      <c r="G76" s="15">
        <v>9.6199999999999992</v>
      </c>
      <c r="H76" s="15">
        <v>7.49</v>
      </c>
      <c r="I76" s="15">
        <v>95.16</v>
      </c>
      <c r="J76" s="15">
        <v>78.75</v>
      </c>
      <c r="K76" s="15">
        <v>4.1900000000000004</v>
      </c>
      <c r="P76" s="15" t="s">
        <v>856</v>
      </c>
      <c r="Q76" s="15">
        <v>71.489999999999995</v>
      </c>
      <c r="R76" s="15">
        <v>7.9</v>
      </c>
      <c r="S76" s="14">
        <f t="shared" si="5"/>
        <v>-0.93235294117646639</v>
      </c>
      <c r="T76" s="14">
        <f t="shared" si="6"/>
        <v>-4.2561344537815557</v>
      </c>
      <c r="U76" s="14">
        <f t="shared" si="7"/>
        <v>0.86928200692040736</v>
      </c>
      <c r="V76" s="14">
        <f t="shared" si="8"/>
        <v>18.114680488666423</v>
      </c>
      <c r="W76" s="14">
        <f t="shared" si="9"/>
        <v>3.9682194760257268</v>
      </c>
    </row>
    <row r="77" spans="1:23" x14ac:dyDescent="0.25">
      <c r="A77" s="15" t="s">
        <v>864</v>
      </c>
      <c r="B77" s="15">
        <v>72.47</v>
      </c>
      <c r="C77" s="15">
        <v>7.92</v>
      </c>
      <c r="D77" s="15">
        <v>14881.6</v>
      </c>
      <c r="E77" s="15">
        <v>10.5</v>
      </c>
      <c r="F77" s="15">
        <v>84.66</v>
      </c>
      <c r="G77" s="15">
        <v>19.420000000000002</v>
      </c>
      <c r="H77" s="15">
        <v>6.68</v>
      </c>
      <c r="I77" s="15">
        <v>93.2</v>
      </c>
      <c r="J77" s="15">
        <v>80.08</v>
      </c>
      <c r="K77" s="15">
        <v>3.9</v>
      </c>
      <c r="P77" s="15" t="s">
        <v>860</v>
      </c>
      <c r="Q77" s="15">
        <v>73.7</v>
      </c>
      <c r="R77" s="15">
        <v>7.8</v>
      </c>
      <c r="S77" s="14">
        <f t="shared" si="5"/>
        <v>-1.0323529411764669</v>
      </c>
      <c r="T77" s="14">
        <f t="shared" si="6"/>
        <v>-2.0461344537815478</v>
      </c>
      <c r="U77" s="14">
        <f t="shared" si="7"/>
        <v>1.0657525951557019</v>
      </c>
      <c r="V77" s="14">
        <f t="shared" si="8"/>
        <v>4.1866662029519128</v>
      </c>
      <c r="W77" s="14">
        <f t="shared" si="9"/>
        <v>2.1123329214038846</v>
      </c>
    </row>
    <row r="78" spans="1:23" x14ac:dyDescent="0.25">
      <c r="A78" s="15" t="s">
        <v>868</v>
      </c>
      <c r="B78" s="15">
        <v>75.13</v>
      </c>
      <c r="C78" s="15">
        <v>8.68</v>
      </c>
      <c r="D78" s="15">
        <v>31703.9</v>
      </c>
      <c r="E78" s="15">
        <v>6.28</v>
      </c>
      <c r="F78" s="15">
        <v>87.76</v>
      </c>
      <c r="G78" s="15">
        <v>24.16</v>
      </c>
      <c r="H78" s="15">
        <v>7.11</v>
      </c>
      <c r="I78" s="15">
        <v>95.99</v>
      </c>
      <c r="J78" s="15">
        <v>75.569999999999993</v>
      </c>
      <c r="K78" s="15">
        <v>4.12</v>
      </c>
      <c r="P78" s="15" t="s">
        <v>864</v>
      </c>
      <c r="Q78" s="15">
        <v>72.47</v>
      </c>
      <c r="R78" s="15">
        <v>7.92</v>
      </c>
      <c r="S78" s="14">
        <f t="shared" si="5"/>
        <v>-0.91235294117646681</v>
      </c>
      <c r="T78" s="14">
        <f t="shared" si="6"/>
        <v>-3.2761344537815518</v>
      </c>
      <c r="U78" s="14">
        <f t="shared" si="7"/>
        <v>0.8323878892733495</v>
      </c>
      <c r="V78" s="14">
        <f t="shared" si="8"/>
        <v>10.733056959254547</v>
      </c>
      <c r="W78" s="14">
        <f t="shared" si="9"/>
        <v>2.9889909045971566</v>
      </c>
    </row>
    <row r="79" spans="1:23" x14ac:dyDescent="0.25">
      <c r="A79" s="15" t="s">
        <v>871</v>
      </c>
      <c r="B79" s="15">
        <v>73.44</v>
      </c>
      <c r="C79" s="15">
        <v>7.87</v>
      </c>
      <c r="D79" s="15">
        <v>29493.8</v>
      </c>
      <c r="E79" s="15">
        <v>8.16</v>
      </c>
      <c r="F79" s="15">
        <v>86.16</v>
      </c>
      <c r="G79" s="15">
        <v>15.46</v>
      </c>
      <c r="H79" s="15">
        <v>6.62</v>
      </c>
      <c r="I79" s="15">
        <v>94.1</v>
      </c>
      <c r="J79" s="15">
        <v>72.36</v>
      </c>
      <c r="K79" s="15">
        <v>4.7699999999999996</v>
      </c>
      <c r="P79" s="15" t="s">
        <v>868</v>
      </c>
      <c r="Q79" s="15">
        <v>75.13</v>
      </c>
      <c r="R79" s="15">
        <v>8.68</v>
      </c>
      <c r="S79" s="14">
        <f t="shared" si="5"/>
        <v>-0.15235294117646703</v>
      </c>
      <c r="T79" s="14">
        <f t="shared" si="6"/>
        <v>-0.61613445378155518</v>
      </c>
      <c r="U79" s="14">
        <f t="shared" si="7"/>
        <v>2.3211418685120021E-2</v>
      </c>
      <c r="V79" s="14">
        <f t="shared" si="8"/>
        <v>0.37962166513669537</v>
      </c>
      <c r="W79" s="14">
        <f t="shared" si="9"/>
        <v>9.386989619377592E-2</v>
      </c>
    </row>
    <row r="80" spans="1:23" x14ac:dyDescent="0.25">
      <c r="A80" s="15" t="s">
        <v>875</v>
      </c>
      <c r="B80" s="15">
        <v>75.180000000000007</v>
      </c>
      <c r="C80" s="15">
        <v>8.26</v>
      </c>
      <c r="D80" s="15">
        <v>33787.599999999999</v>
      </c>
      <c r="E80" s="15">
        <v>9.9499999999999993</v>
      </c>
      <c r="F80" s="15">
        <v>94.94</v>
      </c>
      <c r="G80" s="15">
        <v>23.06</v>
      </c>
      <c r="H80" s="15">
        <v>7.85</v>
      </c>
      <c r="I80" s="15">
        <v>94.01</v>
      </c>
      <c r="J80" s="15">
        <v>71.31</v>
      </c>
      <c r="K80" s="15">
        <v>5.0999999999999996</v>
      </c>
      <c r="P80" s="15" t="s">
        <v>871</v>
      </c>
      <c r="Q80" s="15">
        <v>73.44</v>
      </c>
      <c r="R80" s="15">
        <v>7.87</v>
      </c>
      <c r="S80" s="14">
        <f t="shared" si="5"/>
        <v>-0.96235294117646664</v>
      </c>
      <c r="T80" s="14">
        <f t="shared" si="6"/>
        <v>-2.3061344537815529</v>
      </c>
      <c r="U80" s="14">
        <f t="shared" si="7"/>
        <v>0.92612318339099586</v>
      </c>
      <c r="V80" s="14">
        <f t="shared" si="8"/>
        <v>5.3182561189183417</v>
      </c>
      <c r="W80" s="14">
        <f t="shared" si="9"/>
        <v>2.2193152743450617</v>
      </c>
    </row>
    <row r="81" spans="1:23" x14ac:dyDescent="0.25">
      <c r="A81" s="15" t="s">
        <v>878</v>
      </c>
      <c r="B81" s="15">
        <v>73.53</v>
      </c>
      <c r="C81" s="15">
        <v>7.8</v>
      </c>
      <c r="D81" s="15">
        <v>79500.899999999994</v>
      </c>
      <c r="E81" s="15">
        <v>8.98</v>
      </c>
      <c r="F81" s="15">
        <v>86.74</v>
      </c>
      <c r="G81" s="15">
        <v>32.71</v>
      </c>
      <c r="H81" s="15">
        <v>4.68</v>
      </c>
      <c r="I81" s="15">
        <v>89.53</v>
      </c>
      <c r="J81" s="15">
        <v>72.900000000000006</v>
      </c>
      <c r="K81" s="15">
        <v>5.13</v>
      </c>
      <c r="P81" s="15" t="s">
        <v>875</v>
      </c>
      <c r="Q81" s="15">
        <v>75.180000000000007</v>
      </c>
      <c r="R81" s="15">
        <v>8.26</v>
      </c>
      <c r="S81" s="14">
        <f t="shared" si="5"/>
        <v>-0.57235294117646696</v>
      </c>
      <c r="T81" s="14">
        <f t="shared" si="6"/>
        <v>-0.56613445378154381</v>
      </c>
      <c r="U81" s="14">
        <f t="shared" si="7"/>
        <v>0.32758788927335225</v>
      </c>
      <c r="V81" s="14">
        <f t="shared" si="8"/>
        <v>0.32050821975852695</v>
      </c>
      <c r="W81" s="14">
        <f t="shared" si="9"/>
        <v>0.32402871972319919</v>
      </c>
    </row>
    <row r="82" spans="1:23" x14ac:dyDescent="0.25">
      <c r="A82" s="15" t="s">
        <v>882</v>
      </c>
      <c r="B82" s="15">
        <v>70.31</v>
      </c>
      <c r="C82" s="15">
        <v>7.27</v>
      </c>
      <c r="D82" s="15">
        <v>25929.9</v>
      </c>
      <c r="E82" s="15">
        <v>8.65</v>
      </c>
      <c r="F82" s="15">
        <v>82.45</v>
      </c>
      <c r="G82" s="15">
        <v>23.29</v>
      </c>
      <c r="H82" s="15">
        <v>7.66</v>
      </c>
      <c r="I82" s="15">
        <v>90.16</v>
      </c>
      <c r="J82" s="15">
        <v>70.86</v>
      </c>
      <c r="K82" s="15">
        <v>3.28</v>
      </c>
      <c r="P82" s="15" t="s">
        <v>878</v>
      </c>
      <c r="Q82" s="15">
        <v>73.53</v>
      </c>
      <c r="R82" s="15">
        <v>7.8</v>
      </c>
      <c r="S82" s="14">
        <f t="shared" si="5"/>
        <v>-1.0323529411764669</v>
      </c>
      <c r="T82" s="14">
        <f t="shared" si="6"/>
        <v>-2.2161344537815495</v>
      </c>
      <c r="U82" s="14">
        <f t="shared" si="7"/>
        <v>1.0657525951557019</v>
      </c>
      <c r="V82" s="14">
        <f t="shared" si="8"/>
        <v>4.9112519172376468</v>
      </c>
      <c r="W82" s="14">
        <f t="shared" si="9"/>
        <v>2.2878329214038855</v>
      </c>
    </row>
    <row r="83" spans="1:23" x14ac:dyDescent="0.25">
      <c r="A83" s="15" t="s">
        <v>885</v>
      </c>
      <c r="B83" s="15">
        <v>70.930000000000007</v>
      </c>
      <c r="C83" s="15">
        <v>6.54</v>
      </c>
      <c r="D83" s="15">
        <v>62897.2</v>
      </c>
      <c r="E83" s="15">
        <v>9.01</v>
      </c>
      <c r="F83" s="15">
        <v>67.459999999999994</v>
      </c>
      <c r="G83" s="15">
        <v>21.01</v>
      </c>
      <c r="H83" s="15">
        <v>5.59</v>
      </c>
      <c r="I83" s="15">
        <v>86.35</v>
      </c>
      <c r="J83" s="15">
        <v>73.760000000000005</v>
      </c>
      <c r="K83" s="15">
        <v>3.23</v>
      </c>
      <c r="P83" s="15" t="s">
        <v>882</v>
      </c>
      <c r="Q83" s="15">
        <v>70.31</v>
      </c>
      <c r="R83" s="15">
        <v>7.27</v>
      </c>
      <c r="S83" s="14">
        <f t="shared" si="5"/>
        <v>-1.5623529411764672</v>
      </c>
      <c r="T83" s="14">
        <f t="shared" si="6"/>
        <v>-5.4361344537815484</v>
      </c>
      <c r="U83" s="14">
        <f t="shared" si="7"/>
        <v>2.4409467128027575</v>
      </c>
      <c r="V83" s="14">
        <f t="shared" si="8"/>
        <v>29.551557799590814</v>
      </c>
      <c r="W83" s="14">
        <f t="shared" si="9"/>
        <v>8.4931606524963303</v>
      </c>
    </row>
    <row r="84" spans="1:23" x14ac:dyDescent="0.25">
      <c r="A84" s="15" t="s">
        <v>887</v>
      </c>
      <c r="B84" s="15">
        <v>74.3</v>
      </c>
      <c r="C84" s="15">
        <v>7.78</v>
      </c>
      <c r="D84" s="15">
        <v>63693.599999999999</v>
      </c>
      <c r="E84" s="15">
        <v>6.54</v>
      </c>
      <c r="F84" s="15">
        <v>86.22</v>
      </c>
      <c r="G84" s="15">
        <v>12.94</v>
      </c>
      <c r="H84" s="15">
        <v>7.05</v>
      </c>
      <c r="I84" s="15">
        <v>88.09</v>
      </c>
      <c r="J84" s="15">
        <v>75.36</v>
      </c>
      <c r="K84" s="15">
        <v>4.03</v>
      </c>
      <c r="P84" s="15" t="s">
        <v>885</v>
      </c>
      <c r="Q84" s="15">
        <v>70.930000000000007</v>
      </c>
      <c r="R84" s="15">
        <v>6.54</v>
      </c>
      <c r="S84" s="14">
        <f t="shared" si="5"/>
        <v>-2.2923529411764667</v>
      </c>
      <c r="T84" s="14">
        <f t="shared" si="6"/>
        <v>-4.8161344537815438</v>
      </c>
      <c r="U84" s="14">
        <f t="shared" si="7"/>
        <v>5.2548820069203979</v>
      </c>
      <c r="V84" s="14">
        <f t="shared" si="8"/>
        <v>23.195151076901649</v>
      </c>
      <c r="W84" s="14">
        <f t="shared" si="9"/>
        <v>11.040279980227439</v>
      </c>
    </row>
    <row r="85" spans="1:23" x14ac:dyDescent="0.25">
      <c r="A85" s="15" t="s">
        <v>891</v>
      </c>
      <c r="B85" s="15">
        <v>71.22</v>
      </c>
      <c r="C85" s="15">
        <v>6.53</v>
      </c>
      <c r="D85" s="15">
        <v>15809.3</v>
      </c>
      <c r="E85" s="15">
        <v>12.6</v>
      </c>
      <c r="F85" s="15">
        <v>62.1</v>
      </c>
      <c r="G85" s="15">
        <v>25.21</v>
      </c>
      <c r="H85" s="15">
        <v>4.4800000000000004</v>
      </c>
      <c r="I85" s="15">
        <v>91.49</v>
      </c>
      <c r="J85" s="15">
        <v>75.099999999999994</v>
      </c>
      <c r="K85" s="15">
        <v>3.63</v>
      </c>
      <c r="P85" s="15" t="s">
        <v>887</v>
      </c>
      <c r="Q85" s="15">
        <v>74.3</v>
      </c>
      <c r="R85" s="15">
        <v>7.78</v>
      </c>
      <c r="S85" s="14">
        <f t="shared" si="5"/>
        <v>-1.0523529411764665</v>
      </c>
      <c r="T85" s="14">
        <f t="shared" si="6"/>
        <v>-1.4461344537815535</v>
      </c>
      <c r="U85" s="14">
        <f t="shared" si="7"/>
        <v>1.1074467128027596</v>
      </c>
      <c r="V85" s="14">
        <f t="shared" si="8"/>
        <v>2.0913048584140719</v>
      </c>
      <c r="W85" s="14">
        <f t="shared" si="9"/>
        <v>1.5218438457736407</v>
      </c>
    </row>
    <row r="86" spans="1:23" x14ac:dyDescent="0.25">
      <c r="A86" s="15" t="s">
        <v>895</v>
      </c>
      <c r="B86" s="15">
        <v>71.22</v>
      </c>
      <c r="C86" s="15">
        <v>6.93</v>
      </c>
      <c r="D86" s="15">
        <v>15741.8</v>
      </c>
      <c r="E86" s="15">
        <v>11.51</v>
      </c>
      <c r="F86" s="15">
        <v>62.66</v>
      </c>
      <c r="G86" s="15">
        <v>20.97</v>
      </c>
      <c r="H86" s="15">
        <v>6.7</v>
      </c>
      <c r="I86" s="15">
        <v>87.99</v>
      </c>
      <c r="J86" s="15">
        <v>76.66</v>
      </c>
      <c r="K86" s="15">
        <v>3.15</v>
      </c>
      <c r="P86" s="15" t="s">
        <v>891</v>
      </c>
      <c r="Q86" s="15">
        <v>71.22</v>
      </c>
      <c r="R86" s="15">
        <v>6.53</v>
      </c>
      <c r="S86" s="14">
        <f t="shared" si="5"/>
        <v>-2.3023529411764665</v>
      </c>
      <c r="T86" s="14">
        <f t="shared" si="6"/>
        <v>-4.5261344537815518</v>
      </c>
      <c r="U86" s="14">
        <f t="shared" si="7"/>
        <v>5.3008290657439261</v>
      </c>
      <c r="V86" s="14">
        <f t="shared" si="8"/>
        <v>20.485893093708427</v>
      </c>
      <c r="W86" s="14">
        <f t="shared" si="9"/>
        <v>10.420758971824096</v>
      </c>
    </row>
    <row r="87" spans="1:23" x14ac:dyDescent="0.25">
      <c r="A87" s="15" t="s">
        <v>898</v>
      </c>
      <c r="B87" s="15">
        <v>70.849999999999994</v>
      </c>
      <c r="C87" s="15">
        <v>6.31</v>
      </c>
      <c r="D87" s="15">
        <v>27153.1</v>
      </c>
      <c r="E87" s="15">
        <v>16.45</v>
      </c>
      <c r="F87" s="15">
        <v>66.39</v>
      </c>
      <c r="G87" s="15">
        <v>27.36</v>
      </c>
      <c r="H87" s="15">
        <v>7.16</v>
      </c>
      <c r="I87" s="15">
        <v>87.11</v>
      </c>
      <c r="J87" s="15">
        <v>73.180000000000007</v>
      </c>
      <c r="K87" s="15">
        <v>3</v>
      </c>
      <c r="P87" s="15" t="s">
        <v>895</v>
      </c>
      <c r="Q87" s="15">
        <v>71.22</v>
      </c>
      <c r="R87" s="15">
        <v>6.93</v>
      </c>
      <c r="S87" s="14">
        <f t="shared" si="5"/>
        <v>-1.902352941176467</v>
      </c>
      <c r="T87" s="14">
        <f t="shared" si="6"/>
        <v>-4.5261344537815518</v>
      </c>
      <c r="U87" s="14">
        <f t="shared" si="7"/>
        <v>3.6189467128027548</v>
      </c>
      <c r="V87" s="14">
        <f t="shared" si="8"/>
        <v>20.485893093708427</v>
      </c>
      <c r="W87" s="14">
        <f t="shared" si="9"/>
        <v>8.6103051903114771</v>
      </c>
    </row>
    <row r="88" spans="1:23" x14ac:dyDescent="0.25">
      <c r="A88" s="15" t="s">
        <v>901</v>
      </c>
      <c r="B88" s="15">
        <v>72.36</v>
      </c>
      <c r="C88" s="15">
        <v>7.46</v>
      </c>
      <c r="D88" s="15">
        <v>125622.8</v>
      </c>
      <c r="E88" s="15">
        <v>8.6300000000000008</v>
      </c>
      <c r="F88" s="15">
        <v>86.36</v>
      </c>
      <c r="G88" s="15">
        <v>60.65</v>
      </c>
      <c r="H88" s="15">
        <v>5.47</v>
      </c>
      <c r="I88" s="15">
        <v>91.94</v>
      </c>
      <c r="J88" s="15">
        <v>75.31</v>
      </c>
      <c r="K88" s="15">
        <v>5.0199999999999996</v>
      </c>
      <c r="P88" s="15" t="s">
        <v>898</v>
      </c>
      <c r="Q88" s="15">
        <v>70.849999999999994</v>
      </c>
      <c r="R88" s="15">
        <v>6.31</v>
      </c>
      <c r="S88" s="14">
        <f t="shared" si="5"/>
        <v>-2.5223529411764671</v>
      </c>
      <c r="T88" s="14">
        <f t="shared" si="6"/>
        <v>-4.8961344537815563</v>
      </c>
      <c r="U88" s="14">
        <f t="shared" si="7"/>
        <v>6.362264359861574</v>
      </c>
      <c r="V88" s="14">
        <f t="shared" si="8"/>
        <v>23.97213258950682</v>
      </c>
      <c r="W88" s="14">
        <f t="shared" si="9"/>
        <v>12.349779139891345</v>
      </c>
    </row>
    <row r="89" spans="1:23" x14ac:dyDescent="0.25">
      <c r="A89" s="15" t="s">
        <v>903</v>
      </c>
      <c r="B89" s="15">
        <v>82.67</v>
      </c>
      <c r="C89" s="15">
        <v>10.91</v>
      </c>
      <c r="D89" s="15">
        <v>169867.8</v>
      </c>
      <c r="E89" s="15">
        <v>4.53</v>
      </c>
      <c r="F89" s="15">
        <v>97.95</v>
      </c>
      <c r="G89" s="15">
        <v>48.57</v>
      </c>
      <c r="H89" s="15">
        <v>5.18</v>
      </c>
      <c r="I89" s="15">
        <v>95.45</v>
      </c>
      <c r="J89" s="15">
        <v>68.37</v>
      </c>
      <c r="K89" s="15">
        <v>6.49</v>
      </c>
      <c r="P89" s="15" t="s">
        <v>901</v>
      </c>
      <c r="Q89" s="15">
        <v>72.36</v>
      </c>
      <c r="R89" s="15">
        <v>7.46</v>
      </c>
      <c r="S89" s="14">
        <f t="shared" si="5"/>
        <v>-1.3723529411764668</v>
      </c>
      <c r="T89" s="14">
        <f t="shared" si="6"/>
        <v>-3.3861344537815512</v>
      </c>
      <c r="U89" s="14">
        <f t="shared" si="7"/>
        <v>1.8833525951556989</v>
      </c>
      <c r="V89" s="14">
        <f t="shared" si="8"/>
        <v>11.465906539086484</v>
      </c>
      <c r="W89" s="14">
        <f t="shared" si="9"/>
        <v>4.6469715768660809</v>
      </c>
    </row>
    <row r="90" spans="1:23" x14ac:dyDescent="0.25">
      <c r="A90" s="15" t="s">
        <v>907</v>
      </c>
      <c r="B90" s="15">
        <v>76.69</v>
      </c>
      <c r="C90" s="15">
        <v>9.1300000000000008</v>
      </c>
      <c r="D90" s="15">
        <v>70527.7</v>
      </c>
      <c r="E90" s="15">
        <v>9.3699999999999992</v>
      </c>
      <c r="F90" s="15">
        <v>91.14</v>
      </c>
      <c r="G90" s="15">
        <v>57.93</v>
      </c>
      <c r="H90" s="15">
        <v>5.89</v>
      </c>
      <c r="I90" s="15">
        <v>92.41</v>
      </c>
      <c r="J90" s="15">
        <v>73.94</v>
      </c>
      <c r="K90" s="15">
        <v>3.87</v>
      </c>
      <c r="P90" s="15" t="s">
        <v>903</v>
      </c>
      <c r="Q90" s="15">
        <v>82.67</v>
      </c>
      <c r="R90" s="15">
        <v>10.91</v>
      </c>
      <c r="S90" s="14">
        <f t="shared" si="5"/>
        <v>2.0776470588235334</v>
      </c>
      <c r="T90" s="14">
        <f t="shared" si="6"/>
        <v>6.9238655462184511</v>
      </c>
      <c r="U90" s="14">
        <f t="shared" si="7"/>
        <v>4.3166173010380788</v>
      </c>
      <c r="V90" s="14">
        <f t="shared" si="8"/>
        <v>47.939914102110933</v>
      </c>
      <c r="W90" s="14">
        <f t="shared" si="9"/>
        <v>14.385348887790363</v>
      </c>
    </row>
    <row r="91" spans="1:23" x14ac:dyDescent="0.25">
      <c r="A91" s="15" t="s">
        <v>911</v>
      </c>
      <c r="B91" s="15">
        <v>75.67</v>
      </c>
      <c r="C91" s="15">
        <v>8.7799999999999994</v>
      </c>
      <c r="D91" s="15">
        <v>33230.5</v>
      </c>
      <c r="E91" s="15">
        <v>8.6</v>
      </c>
      <c r="F91" s="15">
        <v>96.13</v>
      </c>
      <c r="G91" s="15">
        <v>22.24</v>
      </c>
      <c r="H91" s="15">
        <v>6.65</v>
      </c>
      <c r="I91" s="15">
        <v>91.32</v>
      </c>
      <c r="J91" s="15">
        <v>71.88</v>
      </c>
      <c r="K91" s="15">
        <v>3.75</v>
      </c>
      <c r="P91" s="15" t="s">
        <v>907</v>
      </c>
      <c r="Q91" s="15">
        <v>76.69</v>
      </c>
      <c r="R91" s="15">
        <v>9.1300000000000008</v>
      </c>
      <c r="S91" s="14">
        <f t="shared" si="5"/>
        <v>0.29764705882353404</v>
      </c>
      <c r="T91" s="14">
        <f t="shared" si="6"/>
        <v>0.94386554621844709</v>
      </c>
      <c r="U91" s="14">
        <f t="shared" si="7"/>
        <v>8.8593771626300333E-2</v>
      </c>
      <c r="V91" s="14">
        <f t="shared" si="8"/>
        <v>0.89088216933824749</v>
      </c>
      <c r="W91" s="14">
        <f t="shared" si="9"/>
        <v>0.2809388037567892</v>
      </c>
    </row>
    <row r="92" spans="1:23" x14ac:dyDescent="0.25">
      <c r="A92" s="15" t="s">
        <v>914</v>
      </c>
      <c r="B92" s="15">
        <v>75.239999999999995</v>
      </c>
      <c r="C92" s="15">
        <v>8.25</v>
      </c>
      <c r="D92" s="15">
        <v>21614.9</v>
      </c>
      <c r="E92" s="15">
        <v>10.17</v>
      </c>
      <c r="F92" s="15">
        <v>90.96</v>
      </c>
      <c r="G92" s="15">
        <v>16.309999999999999</v>
      </c>
      <c r="H92" s="15">
        <v>6.67</v>
      </c>
      <c r="I92" s="15">
        <v>94.92</v>
      </c>
      <c r="J92" s="15">
        <v>69.790000000000006</v>
      </c>
      <c r="K92" s="15">
        <v>3.87</v>
      </c>
      <c r="P92" s="15" t="s">
        <v>911</v>
      </c>
      <c r="Q92" s="15">
        <v>75.67</v>
      </c>
      <c r="R92" s="15">
        <v>8.7799999999999994</v>
      </c>
      <c r="S92" s="14">
        <f t="shared" si="5"/>
        <v>-5.2352941176467382E-2</v>
      </c>
      <c r="T92" s="14">
        <f t="shared" si="6"/>
        <v>-7.6134453781548928E-2</v>
      </c>
      <c r="U92" s="14">
        <f t="shared" si="7"/>
        <v>2.7408304498266539E-3</v>
      </c>
      <c r="V92" s="14">
        <f t="shared" si="8"/>
        <v>5.7964550526148099E-3</v>
      </c>
      <c r="W92" s="14">
        <f t="shared" si="9"/>
        <v>3.9858625803279053E-3</v>
      </c>
    </row>
    <row r="93" spans="1:23" x14ac:dyDescent="0.25">
      <c r="A93" s="15" t="s">
        <v>918</v>
      </c>
      <c r="B93" s="15">
        <v>74.81</v>
      </c>
      <c r="C93" s="15">
        <v>8.1999999999999993</v>
      </c>
      <c r="D93" s="15">
        <v>15593.2</v>
      </c>
      <c r="E93" s="15">
        <v>10.63</v>
      </c>
      <c r="F93" s="15">
        <v>91.47</v>
      </c>
      <c r="G93" s="15">
        <v>14.57</v>
      </c>
      <c r="H93" s="15">
        <v>5.01</v>
      </c>
      <c r="I93" s="15">
        <v>93.33</v>
      </c>
      <c r="J93" s="15">
        <v>72.34</v>
      </c>
      <c r="K93" s="15">
        <v>4.34</v>
      </c>
      <c r="P93" s="15" t="s">
        <v>914</v>
      </c>
      <c r="Q93" s="15">
        <v>75.239999999999995</v>
      </c>
      <c r="R93" s="15">
        <v>8.25</v>
      </c>
      <c r="S93" s="14">
        <f t="shared" si="5"/>
        <v>-0.58235294117646674</v>
      </c>
      <c r="T93" s="14">
        <f t="shared" si="6"/>
        <v>-0.50613445378155575</v>
      </c>
      <c r="U93" s="14">
        <f t="shared" si="7"/>
        <v>0.33913494809688133</v>
      </c>
      <c r="V93" s="14">
        <f t="shared" si="8"/>
        <v>0.25617208530475377</v>
      </c>
      <c r="W93" s="14">
        <f t="shared" si="9"/>
        <v>0.29474888779043346</v>
      </c>
    </row>
    <row r="94" spans="1:23" x14ac:dyDescent="0.25">
      <c r="A94" s="15" t="s">
        <v>921</v>
      </c>
      <c r="B94" s="15">
        <v>76.77</v>
      </c>
      <c r="C94" s="15">
        <v>8.69</v>
      </c>
      <c r="D94" s="15">
        <v>15259.9</v>
      </c>
      <c r="E94" s="15">
        <v>9.32</v>
      </c>
      <c r="F94" s="15">
        <v>89.99</v>
      </c>
      <c r="G94" s="15">
        <v>12.28</v>
      </c>
      <c r="H94" s="15">
        <v>4.5</v>
      </c>
      <c r="I94" s="15">
        <v>95.05</v>
      </c>
      <c r="J94" s="15">
        <v>77.040000000000006</v>
      </c>
      <c r="K94" s="15">
        <v>3.28</v>
      </c>
      <c r="P94" s="15" t="s">
        <v>918</v>
      </c>
      <c r="Q94" s="15">
        <v>74.81</v>
      </c>
      <c r="R94" s="15">
        <v>8.1999999999999993</v>
      </c>
      <c r="S94" s="14">
        <f t="shared" si="5"/>
        <v>-0.63235294117646745</v>
      </c>
      <c r="T94" s="14">
        <f t="shared" si="6"/>
        <v>-0.93613445378154836</v>
      </c>
      <c r="U94" s="14">
        <f t="shared" si="7"/>
        <v>0.39987024221452888</v>
      </c>
      <c r="V94" s="14">
        <f t="shared" si="8"/>
        <v>0.87634771555687785</v>
      </c>
      <c r="W94" s="14">
        <f t="shared" si="9"/>
        <v>0.59196737518538789</v>
      </c>
    </row>
    <row r="95" spans="1:23" x14ac:dyDescent="0.25">
      <c r="A95" s="15" t="s">
        <v>924</v>
      </c>
      <c r="B95" s="15">
        <v>73.91</v>
      </c>
      <c r="C95" s="15">
        <v>7.84</v>
      </c>
      <c r="D95" s="15">
        <v>15596</v>
      </c>
      <c r="E95" s="15">
        <v>13.81</v>
      </c>
      <c r="F95" s="15">
        <v>82.99</v>
      </c>
      <c r="G95" s="15">
        <v>10.11</v>
      </c>
      <c r="H95" s="15">
        <v>6.09</v>
      </c>
      <c r="I95" s="15">
        <v>93.79</v>
      </c>
      <c r="J95" s="15">
        <v>75.73</v>
      </c>
      <c r="K95" s="15">
        <v>2.4</v>
      </c>
      <c r="P95" s="15" t="s">
        <v>921</v>
      </c>
      <c r="Q95" s="15">
        <v>76.77</v>
      </c>
      <c r="R95" s="15">
        <v>8.69</v>
      </c>
      <c r="S95" s="14">
        <f t="shared" si="5"/>
        <v>-0.14235294117646724</v>
      </c>
      <c r="T95" s="14">
        <f t="shared" si="6"/>
        <v>1.0238655462184454</v>
      </c>
      <c r="U95" s="14">
        <f t="shared" si="7"/>
        <v>2.0264359861590742E-2</v>
      </c>
      <c r="V95" s="14">
        <f t="shared" si="8"/>
        <v>1.0483006567331956</v>
      </c>
      <c r="W95" s="14">
        <f t="shared" si="9"/>
        <v>-0.14575027187344586</v>
      </c>
    </row>
    <row r="96" spans="1:23" x14ac:dyDescent="0.25">
      <c r="A96" s="15" t="s">
        <v>927</v>
      </c>
      <c r="B96" s="15">
        <v>72.75</v>
      </c>
      <c r="C96" s="15">
        <v>7.59</v>
      </c>
      <c r="D96" s="15">
        <v>64367.4</v>
      </c>
      <c r="E96" s="15">
        <v>11.69</v>
      </c>
      <c r="F96" s="15">
        <v>96.43</v>
      </c>
      <c r="G96" s="15">
        <v>6.95</v>
      </c>
      <c r="H96" s="15">
        <v>8.7200000000000006</v>
      </c>
      <c r="I96" s="15">
        <v>92.22</v>
      </c>
      <c r="J96" s="15">
        <v>73.86</v>
      </c>
      <c r="K96" s="15">
        <v>4.42</v>
      </c>
      <c r="P96" s="15" t="s">
        <v>924</v>
      </c>
      <c r="Q96" s="15">
        <v>73.91</v>
      </c>
      <c r="R96" s="15">
        <v>7.84</v>
      </c>
      <c r="S96" s="14">
        <f t="shared" si="5"/>
        <v>-0.99235294117646689</v>
      </c>
      <c r="T96" s="14">
        <f t="shared" si="6"/>
        <v>-1.836134453781554</v>
      </c>
      <c r="U96" s="14">
        <f t="shared" si="7"/>
        <v>0.98476435986158439</v>
      </c>
      <c r="V96" s="14">
        <f t="shared" si="8"/>
        <v>3.3713897323636859</v>
      </c>
      <c r="W96" s="14">
        <f t="shared" si="9"/>
        <v>1.8220934256055707</v>
      </c>
    </row>
    <row r="97" spans="1:23" x14ac:dyDescent="0.25">
      <c r="A97" s="15" t="s">
        <v>931</v>
      </c>
      <c r="B97" s="15">
        <v>72.31</v>
      </c>
      <c r="C97" s="15">
        <v>7.53</v>
      </c>
      <c r="D97" s="15">
        <v>51913.4</v>
      </c>
      <c r="E97" s="15">
        <v>14.36</v>
      </c>
      <c r="F97" s="15">
        <v>85.12</v>
      </c>
      <c r="G97" s="15">
        <v>30.21</v>
      </c>
      <c r="H97" s="15">
        <v>1.83</v>
      </c>
      <c r="I97" s="15">
        <v>89.59</v>
      </c>
      <c r="J97" s="15">
        <v>74.55</v>
      </c>
      <c r="K97" s="15">
        <v>4.28</v>
      </c>
      <c r="P97" s="15" t="s">
        <v>927</v>
      </c>
      <c r="Q97" s="15">
        <v>72.75</v>
      </c>
      <c r="R97" s="15">
        <v>7.59</v>
      </c>
      <c r="S97" s="14">
        <f t="shared" si="5"/>
        <v>-1.2423529411764669</v>
      </c>
      <c r="T97" s="14">
        <f t="shared" si="6"/>
        <v>-2.9961344537815506</v>
      </c>
      <c r="U97" s="14">
        <f t="shared" si="7"/>
        <v>1.5434408304498177</v>
      </c>
      <c r="V97" s="14">
        <f t="shared" si="8"/>
        <v>8.9768216651368711</v>
      </c>
      <c r="W97" s="14">
        <f t="shared" si="9"/>
        <v>3.7222564508156566</v>
      </c>
    </row>
    <row r="98" spans="1:23" x14ac:dyDescent="0.25">
      <c r="A98" s="15" t="s">
        <v>935</v>
      </c>
      <c r="B98" s="15">
        <v>75.900000000000006</v>
      </c>
      <c r="C98" s="15">
        <v>8.48</v>
      </c>
      <c r="D98" s="15">
        <v>32186</v>
      </c>
      <c r="E98" s="15">
        <v>12.16</v>
      </c>
      <c r="F98" s="15">
        <v>95.88</v>
      </c>
      <c r="G98" s="15">
        <v>12.23</v>
      </c>
      <c r="H98" s="15">
        <v>7.66</v>
      </c>
      <c r="I98" s="15">
        <v>90.7</v>
      </c>
      <c r="J98" s="15">
        <v>74.8</v>
      </c>
      <c r="K98" s="15">
        <v>4.34</v>
      </c>
      <c r="P98" s="15" t="s">
        <v>931</v>
      </c>
      <c r="Q98" s="15">
        <v>72.31</v>
      </c>
      <c r="R98" s="15">
        <v>7.53</v>
      </c>
      <c r="S98" s="14">
        <f t="shared" si="5"/>
        <v>-1.3023529411764665</v>
      </c>
      <c r="T98" s="14">
        <f t="shared" si="6"/>
        <v>-3.4361344537815484</v>
      </c>
      <c r="U98" s="14">
        <f t="shared" si="7"/>
        <v>1.6961231833909929</v>
      </c>
      <c r="V98" s="14">
        <f t="shared" si="8"/>
        <v>11.80701998446462</v>
      </c>
      <c r="W98" s="14">
        <f t="shared" si="9"/>
        <v>4.4750598121601906</v>
      </c>
    </row>
    <row r="99" spans="1:23" x14ac:dyDescent="0.25">
      <c r="A99" s="15" t="s">
        <v>939</v>
      </c>
      <c r="B99" s="15">
        <v>78.930000000000007</v>
      </c>
      <c r="C99" s="15">
        <v>10.029999999999999</v>
      </c>
      <c r="D99" s="15">
        <v>119274.4</v>
      </c>
      <c r="E99" s="15">
        <v>10.32</v>
      </c>
      <c r="F99" s="15">
        <v>93.22</v>
      </c>
      <c r="G99" s="15">
        <v>51.25</v>
      </c>
      <c r="H99" s="15">
        <v>6.32</v>
      </c>
      <c r="I99" s="15">
        <v>91.63</v>
      </c>
      <c r="J99" s="15">
        <v>71.61</v>
      </c>
      <c r="K99" s="15">
        <v>6.45</v>
      </c>
      <c r="P99" s="15" t="s">
        <v>935</v>
      </c>
      <c r="Q99" s="15">
        <v>75.900000000000006</v>
      </c>
      <c r="R99" s="15">
        <v>8.48</v>
      </c>
      <c r="S99" s="14">
        <f t="shared" si="5"/>
        <v>-0.35235294117646632</v>
      </c>
      <c r="T99" s="14">
        <f t="shared" si="6"/>
        <v>0.15386554621845505</v>
      </c>
      <c r="U99" s="14">
        <f t="shared" si="7"/>
        <v>0.12415259515570633</v>
      </c>
      <c r="V99" s="14">
        <f t="shared" si="8"/>
        <v>2.3674606313103527E-2</v>
      </c>
      <c r="W99" s="14">
        <f t="shared" si="9"/>
        <v>-5.4214977755796152E-2</v>
      </c>
    </row>
    <row r="100" spans="1:23" x14ac:dyDescent="0.25">
      <c r="A100" s="15" t="s">
        <v>943</v>
      </c>
      <c r="B100" s="15">
        <v>67.33</v>
      </c>
      <c r="C100" s="15">
        <v>6.01</v>
      </c>
      <c r="D100" s="15">
        <v>17497.5</v>
      </c>
      <c r="E100" s="15">
        <v>18.66</v>
      </c>
      <c r="F100" s="15">
        <v>50.31</v>
      </c>
      <c r="G100" s="15">
        <v>3.04</v>
      </c>
      <c r="H100" s="15">
        <v>9.15</v>
      </c>
      <c r="I100" s="15">
        <v>88.09</v>
      </c>
      <c r="J100" s="15">
        <v>70.48</v>
      </c>
      <c r="K100" s="15">
        <v>5.35</v>
      </c>
      <c r="P100" s="15" t="s">
        <v>939</v>
      </c>
      <c r="Q100" s="15">
        <v>78.930000000000007</v>
      </c>
      <c r="R100" s="15">
        <v>10.029999999999999</v>
      </c>
      <c r="S100" s="14">
        <f t="shared" si="5"/>
        <v>1.1976470588235326</v>
      </c>
      <c r="T100" s="14">
        <f t="shared" si="6"/>
        <v>3.1838655462184562</v>
      </c>
      <c r="U100" s="14">
        <f t="shared" si="7"/>
        <v>1.4343584775086582</v>
      </c>
      <c r="V100" s="14">
        <f t="shared" si="8"/>
        <v>10.136999816396948</v>
      </c>
      <c r="W100" s="14">
        <f t="shared" si="9"/>
        <v>3.8131472071181141</v>
      </c>
    </row>
    <row r="101" spans="1:23" x14ac:dyDescent="0.25">
      <c r="A101" s="15" t="s">
        <v>946</v>
      </c>
      <c r="B101" s="15">
        <v>66.72</v>
      </c>
      <c r="C101" s="15">
        <v>5.08</v>
      </c>
      <c r="D101" s="15">
        <v>14925.3</v>
      </c>
      <c r="E101" s="15">
        <v>20.83</v>
      </c>
      <c r="F101" s="15">
        <v>87.24</v>
      </c>
      <c r="G101" s="15">
        <v>4.18</v>
      </c>
      <c r="H101" s="15">
        <v>7.54</v>
      </c>
      <c r="I101" s="15">
        <v>87.52</v>
      </c>
      <c r="J101" s="15">
        <v>73.62</v>
      </c>
      <c r="K101" s="15">
        <v>2.5</v>
      </c>
      <c r="P101" s="15" t="s">
        <v>943</v>
      </c>
      <c r="Q101" s="15">
        <v>67.33</v>
      </c>
      <c r="R101" s="15">
        <v>6.01</v>
      </c>
      <c r="S101" s="14">
        <f t="shared" si="5"/>
        <v>-2.822352941176467</v>
      </c>
      <c r="T101" s="14">
        <f t="shared" si="6"/>
        <v>-8.4161344537815523</v>
      </c>
      <c r="U101" s="14">
        <f t="shared" si="7"/>
        <v>7.9656761245674534</v>
      </c>
      <c r="V101" s="14">
        <f t="shared" si="8"/>
        <v>70.831319144128912</v>
      </c>
      <c r="W101" s="14">
        <f t="shared" si="9"/>
        <v>23.753301828966961</v>
      </c>
    </row>
    <row r="102" spans="1:23" x14ac:dyDescent="0.25">
      <c r="A102" s="15" t="s">
        <v>949</v>
      </c>
      <c r="B102" s="15">
        <v>70.849999999999994</v>
      </c>
      <c r="C102" s="15">
        <v>7.17</v>
      </c>
      <c r="D102" s="15">
        <v>13245.3</v>
      </c>
      <c r="E102" s="15">
        <v>13.41</v>
      </c>
      <c r="F102" s="15">
        <v>72.94</v>
      </c>
      <c r="G102" s="15">
        <v>7.74</v>
      </c>
      <c r="H102" s="15">
        <v>6.32</v>
      </c>
      <c r="I102" s="15">
        <v>87.6</v>
      </c>
      <c r="J102" s="15">
        <v>79.13</v>
      </c>
      <c r="K102" s="15">
        <v>1.64</v>
      </c>
      <c r="P102" s="15" t="s">
        <v>946</v>
      </c>
      <c r="Q102" s="15">
        <v>66.72</v>
      </c>
      <c r="R102" s="15">
        <v>5.08</v>
      </c>
      <c r="S102" s="14">
        <f t="shared" si="5"/>
        <v>-3.7523529411764667</v>
      </c>
      <c r="T102" s="14">
        <f t="shared" si="6"/>
        <v>-9.0261344537815518</v>
      </c>
      <c r="U102" s="14">
        <f t="shared" si="7"/>
        <v>14.080152595155679</v>
      </c>
      <c r="V102" s="14">
        <f t="shared" si="8"/>
        <v>81.471103177742393</v>
      </c>
      <c r="W102" s="14">
        <f t="shared" si="9"/>
        <v>33.869242165101447</v>
      </c>
    </row>
    <row r="103" spans="1:23" x14ac:dyDescent="0.25">
      <c r="A103" s="15" t="s">
        <v>952</v>
      </c>
      <c r="B103" s="15">
        <v>69.78</v>
      </c>
      <c r="C103" s="15">
        <v>6.1</v>
      </c>
      <c r="D103" s="15">
        <v>27234.400000000001</v>
      </c>
      <c r="E103" s="15">
        <v>17.78</v>
      </c>
      <c r="F103" s="15">
        <v>73.31</v>
      </c>
      <c r="G103" s="15">
        <v>6.73</v>
      </c>
      <c r="H103" s="15">
        <v>8.26</v>
      </c>
      <c r="I103" s="15">
        <v>83.03</v>
      </c>
      <c r="J103" s="15">
        <v>78.16</v>
      </c>
      <c r="K103" s="15">
        <v>1.69</v>
      </c>
      <c r="P103" s="15" t="s">
        <v>949</v>
      </c>
      <c r="Q103" s="15">
        <v>70.849999999999994</v>
      </c>
      <c r="R103" s="15">
        <v>7.17</v>
      </c>
      <c r="S103" s="14">
        <f t="shared" si="5"/>
        <v>-1.6623529411764668</v>
      </c>
      <c r="T103" s="14">
        <f t="shared" si="6"/>
        <v>-4.8961344537815563</v>
      </c>
      <c r="U103" s="14">
        <f t="shared" si="7"/>
        <v>2.7634173010380496</v>
      </c>
      <c r="V103" s="14">
        <f t="shared" si="8"/>
        <v>23.97213258950682</v>
      </c>
      <c r="W103" s="14">
        <f t="shared" si="9"/>
        <v>8.1391035096392041</v>
      </c>
    </row>
    <row r="104" spans="1:23" x14ac:dyDescent="0.25">
      <c r="A104" s="15" t="s">
        <v>956</v>
      </c>
      <c r="B104" s="15">
        <v>81.88</v>
      </c>
      <c r="C104" s="15">
        <v>10.92</v>
      </c>
      <c r="D104" s="15">
        <v>94774.1</v>
      </c>
      <c r="E104" s="15">
        <v>6.51</v>
      </c>
      <c r="F104" s="15">
        <v>95.39</v>
      </c>
      <c r="G104" s="15">
        <v>79.64</v>
      </c>
      <c r="H104" s="15">
        <v>2.94</v>
      </c>
      <c r="I104" s="15">
        <v>95.99</v>
      </c>
      <c r="J104" s="15">
        <v>70.739999999999995</v>
      </c>
      <c r="K104" s="15">
        <v>3.91</v>
      </c>
      <c r="P104" s="15" t="s">
        <v>952</v>
      </c>
      <c r="Q104" s="15">
        <v>69.78</v>
      </c>
      <c r="R104" s="15">
        <v>6.1</v>
      </c>
      <c r="S104" s="14">
        <f t="shared" si="5"/>
        <v>-2.7323529411764671</v>
      </c>
      <c r="T104" s="14">
        <f t="shared" si="6"/>
        <v>-5.9661344537815495</v>
      </c>
      <c r="U104" s="14">
        <f t="shared" si="7"/>
        <v>7.4657525951556902</v>
      </c>
      <c r="V104" s="14">
        <f t="shared" si="8"/>
        <v>35.594760320599271</v>
      </c>
      <c r="W104" s="14">
        <f t="shared" si="9"/>
        <v>16.301585022244272</v>
      </c>
    </row>
    <row r="105" spans="1:23" x14ac:dyDescent="0.25">
      <c r="A105" s="15" t="s">
        <v>960</v>
      </c>
      <c r="B105" s="15">
        <v>81.44</v>
      </c>
      <c r="C105" s="15">
        <v>10.82</v>
      </c>
      <c r="D105" s="15">
        <v>5746.4</v>
      </c>
      <c r="E105" s="15">
        <v>6.75</v>
      </c>
      <c r="F105" s="15">
        <v>95.93</v>
      </c>
      <c r="G105" s="15">
        <v>9.9</v>
      </c>
      <c r="H105" s="15">
        <v>5.1100000000000003</v>
      </c>
      <c r="I105" s="15">
        <v>98.03</v>
      </c>
      <c r="J105" s="15">
        <v>70.44</v>
      </c>
      <c r="K105" s="15">
        <v>5.1100000000000003</v>
      </c>
      <c r="P105" s="15" t="s">
        <v>956</v>
      </c>
      <c r="Q105" s="15">
        <v>81.88</v>
      </c>
      <c r="R105" s="15">
        <v>10.92</v>
      </c>
      <c r="S105" s="14">
        <f t="shared" si="5"/>
        <v>2.0876470588235332</v>
      </c>
      <c r="T105" s="14">
        <f t="shared" si="6"/>
        <v>6.1338655462184448</v>
      </c>
      <c r="U105" s="14">
        <f t="shared" si="7"/>
        <v>4.358270242214549</v>
      </c>
      <c r="V105" s="14">
        <f t="shared" si="8"/>
        <v>37.624306539085701</v>
      </c>
      <c r="W105" s="14">
        <f t="shared" si="9"/>
        <v>12.805346366781942</v>
      </c>
    </row>
    <row r="106" spans="1:23" x14ac:dyDescent="0.25">
      <c r="A106" s="15" t="s">
        <v>964</v>
      </c>
      <c r="B106" s="15">
        <v>84.68</v>
      </c>
      <c r="C106" s="15">
        <v>11.14</v>
      </c>
      <c r="D106" s="15">
        <v>63373.3</v>
      </c>
      <c r="E106" s="15">
        <v>3.91</v>
      </c>
      <c r="F106" s="15">
        <v>87.84</v>
      </c>
      <c r="G106" s="15">
        <v>27.09</v>
      </c>
      <c r="H106" s="15">
        <v>5.13</v>
      </c>
      <c r="I106" s="15">
        <v>97.02</v>
      </c>
      <c r="J106" s="15">
        <v>67.52</v>
      </c>
      <c r="K106" s="15">
        <v>6.1</v>
      </c>
      <c r="P106" s="15" t="s">
        <v>960</v>
      </c>
      <c r="Q106" s="15">
        <v>81.44</v>
      </c>
      <c r="R106" s="15">
        <v>10.82</v>
      </c>
      <c r="S106" s="14">
        <f t="shared" si="5"/>
        <v>1.9876470588235335</v>
      </c>
      <c r="T106" s="14">
        <f t="shared" si="6"/>
        <v>5.6938655462184471</v>
      </c>
      <c r="U106" s="14">
        <f t="shared" si="7"/>
        <v>3.9507408304498433</v>
      </c>
      <c r="V106" s="14">
        <f t="shared" si="8"/>
        <v>32.420104858413495</v>
      </c>
      <c r="W106" s="14">
        <f t="shared" si="9"/>
        <v>11.317395106277749</v>
      </c>
    </row>
    <row r="107" spans="1:23" x14ac:dyDescent="0.25">
      <c r="A107" s="15" t="s">
        <v>968</v>
      </c>
      <c r="B107" s="15">
        <v>77.790000000000006</v>
      </c>
      <c r="C107" s="15">
        <v>9.7200000000000006</v>
      </c>
      <c r="D107" s="15">
        <v>9893.2999999999993</v>
      </c>
      <c r="E107" s="15">
        <v>6.18</v>
      </c>
      <c r="F107" s="15">
        <v>91.59</v>
      </c>
      <c r="G107" s="15">
        <v>14.63</v>
      </c>
      <c r="H107" s="15">
        <v>3.92</v>
      </c>
      <c r="I107" s="15">
        <v>97.26</v>
      </c>
      <c r="J107" s="15">
        <v>67.55</v>
      </c>
      <c r="K107" s="15">
        <v>4.4400000000000004</v>
      </c>
      <c r="P107" s="15" t="s">
        <v>964</v>
      </c>
      <c r="Q107" s="15">
        <v>84.68</v>
      </c>
      <c r="R107" s="15">
        <v>11.14</v>
      </c>
      <c r="S107" s="14">
        <f t="shared" si="5"/>
        <v>2.3076470588235338</v>
      </c>
      <c r="T107" s="14">
        <f t="shared" si="6"/>
        <v>8.9338655462184562</v>
      </c>
      <c r="U107" s="14">
        <f t="shared" si="7"/>
        <v>5.3252349480969059</v>
      </c>
      <c r="V107" s="14">
        <f t="shared" si="8"/>
        <v>79.81395359790919</v>
      </c>
      <c r="W107" s="14">
        <f t="shared" si="9"/>
        <v>20.616208551655923</v>
      </c>
    </row>
    <row r="108" spans="1:23" x14ac:dyDescent="0.25">
      <c r="A108" s="15" t="s">
        <v>971</v>
      </c>
      <c r="B108" s="15">
        <v>78.900000000000006</v>
      </c>
      <c r="C108" s="15">
        <v>9.94</v>
      </c>
      <c r="D108" s="15">
        <v>6998.7</v>
      </c>
      <c r="E108" s="15">
        <v>6.32</v>
      </c>
      <c r="F108" s="15">
        <v>95.52</v>
      </c>
      <c r="G108" s="15">
        <v>19.809999999999999</v>
      </c>
      <c r="H108" s="15">
        <v>3.52</v>
      </c>
      <c r="I108" s="15">
        <v>97.82</v>
      </c>
      <c r="J108" s="15">
        <v>72.72</v>
      </c>
      <c r="K108" s="15">
        <v>4.63</v>
      </c>
      <c r="P108" s="15" t="s">
        <v>968</v>
      </c>
      <c r="Q108" s="15">
        <v>77.790000000000006</v>
      </c>
      <c r="R108" s="15">
        <v>9.7200000000000006</v>
      </c>
      <c r="S108" s="14">
        <f t="shared" si="5"/>
        <v>0.8876470588235339</v>
      </c>
      <c r="T108" s="14">
        <f t="shared" si="6"/>
        <v>2.0438655462184556</v>
      </c>
      <c r="U108" s="14">
        <f t="shared" si="7"/>
        <v>0.78791730103807023</v>
      </c>
      <c r="V108" s="14">
        <f t="shared" si="8"/>
        <v>4.1773863710188657</v>
      </c>
      <c r="W108" s="14">
        <f t="shared" si="9"/>
        <v>1.8142312407315677</v>
      </c>
    </row>
    <row r="109" spans="1:23" x14ac:dyDescent="0.25">
      <c r="A109" s="15" t="s">
        <v>973</v>
      </c>
      <c r="B109" s="15">
        <v>81.760000000000005</v>
      </c>
      <c r="C109" s="15">
        <v>11.38</v>
      </c>
      <c r="D109" s="15">
        <v>5686.8</v>
      </c>
      <c r="E109" s="15">
        <v>5.57</v>
      </c>
      <c r="F109" s="15">
        <v>98.56</v>
      </c>
      <c r="G109" s="15">
        <v>9.34</v>
      </c>
      <c r="H109" s="15">
        <v>3.44</v>
      </c>
      <c r="I109" s="15">
        <v>95.2</v>
      </c>
      <c r="J109" s="15">
        <v>72.680000000000007</v>
      </c>
      <c r="K109" s="15">
        <v>3.76</v>
      </c>
      <c r="P109" s="15" t="s">
        <v>971</v>
      </c>
      <c r="Q109" s="15">
        <v>78.900000000000006</v>
      </c>
      <c r="R109" s="15">
        <v>9.94</v>
      </c>
      <c r="S109" s="14">
        <f t="shared" si="5"/>
        <v>1.1076470588235328</v>
      </c>
      <c r="T109" s="14">
        <f t="shared" si="6"/>
        <v>3.1538655462184551</v>
      </c>
      <c r="U109" s="14">
        <f t="shared" si="7"/>
        <v>1.2268820069204227</v>
      </c>
      <c r="V109" s="14">
        <f t="shared" si="8"/>
        <v>9.9468678836238347</v>
      </c>
      <c r="W109" s="14">
        <f t="shared" si="9"/>
        <v>3.4933698961937463</v>
      </c>
    </row>
    <row r="110" spans="1:23" x14ac:dyDescent="0.25">
      <c r="A110" s="15" t="s">
        <v>977</v>
      </c>
      <c r="B110" s="15">
        <v>84.51</v>
      </c>
      <c r="C110" s="15">
        <v>12.11</v>
      </c>
      <c r="D110" s="15">
        <v>12438.9</v>
      </c>
      <c r="E110" s="15">
        <v>4.38</v>
      </c>
      <c r="F110" s="15">
        <v>95.19</v>
      </c>
      <c r="G110" s="15">
        <v>13.63</v>
      </c>
      <c r="H110" s="15">
        <v>6.36</v>
      </c>
      <c r="I110" s="15">
        <v>95.92</v>
      </c>
      <c r="J110" s="15">
        <v>70.599999999999994</v>
      </c>
      <c r="K110" s="15">
        <v>4.3</v>
      </c>
      <c r="P110" s="15" t="s">
        <v>973</v>
      </c>
      <c r="Q110" s="15">
        <v>81.760000000000005</v>
      </c>
      <c r="R110" s="15">
        <v>11.38</v>
      </c>
      <c r="S110" s="14">
        <f t="shared" si="5"/>
        <v>2.547647058823534</v>
      </c>
      <c r="T110" s="14">
        <f t="shared" si="6"/>
        <v>6.0138655462184545</v>
      </c>
      <c r="U110" s="14">
        <f t="shared" si="7"/>
        <v>6.4905055363322033</v>
      </c>
      <c r="V110" s="14">
        <f t="shared" si="8"/>
        <v>36.166578807993389</v>
      </c>
      <c r="W110" s="14">
        <f t="shared" si="9"/>
        <v>15.321206870983632</v>
      </c>
    </row>
    <row r="111" spans="1:23" x14ac:dyDescent="0.25">
      <c r="A111" s="15" t="s">
        <v>980</v>
      </c>
      <c r="B111" s="15">
        <v>84.69</v>
      </c>
      <c r="C111" s="15">
        <v>10.89</v>
      </c>
      <c r="D111" s="15">
        <v>485448.9</v>
      </c>
      <c r="E111" s="15">
        <v>3.96</v>
      </c>
      <c r="F111" s="15">
        <v>97.69</v>
      </c>
      <c r="G111" s="15">
        <v>19.07</v>
      </c>
      <c r="H111" s="15">
        <v>5.48</v>
      </c>
      <c r="I111" s="15">
        <v>95.75</v>
      </c>
      <c r="J111" s="15">
        <v>70.489999999999995</v>
      </c>
      <c r="K111" s="15">
        <v>4.91</v>
      </c>
      <c r="P111" s="15" t="s">
        <v>977</v>
      </c>
      <c r="Q111" s="15">
        <v>84.51</v>
      </c>
      <c r="R111" s="15">
        <v>12.11</v>
      </c>
      <c r="S111" s="14">
        <f t="shared" si="5"/>
        <v>3.2776470588235327</v>
      </c>
      <c r="T111" s="14">
        <f t="shared" si="6"/>
        <v>8.7638655462184545</v>
      </c>
      <c r="U111" s="14">
        <f t="shared" si="7"/>
        <v>10.742970242214554</v>
      </c>
      <c r="V111" s="14">
        <f t="shared" si="8"/>
        <v>76.805339312194889</v>
      </c>
      <c r="W111" s="14">
        <f t="shared" si="9"/>
        <v>28.72485813148781</v>
      </c>
    </row>
    <row r="112" spans="1:23" x14ac:dyDescent="0.25">
      <c r="A112" s="15" t="s">
        <v>984</v>
      </c>
      <c r="B112" s="15">
        <v>79.69</v>
      </c>
      <c r="C112" s="15">
        <v>9.8699999999999992</v>
      </c>
      <c r="D112" s="15">
        <v>13588.1</v>
      </c>
      <c r="E112" s="15">
        <v>3.06</v>
      </c>
      <c r="F112" s="15">
        <v>96.39</v>
      </c>
      <c r="G112" s="15">
        <v>6.29</v>
      </c>
      <c r="H112" s="15">
        <v>8.6</v>
      </c>
      <c r="I112" s="15">
        <v>91.5</v>
      </c>
      <c r="J112" s="15">
        <v>73.53</v>
      </c>
      <c r="K112" s="15">
        <v>3.63</v>
      </c>
      <c r="P112" s="15" t="s">
        <v>980</v>
      </c>
      <c r="Q112" s="15">
        <v>84.69</v>
      </c>
      <c r="R112" s="15">
        <v>10.89</v>
      </c>
      <c r="S112" s="14">
        <f t="shared" si="5"/>
        <v>2.0576470588235338</v>
      </c>
      <c r="T112" s="14">
        <f t="shared" si="6"/>
        <v>8.9438655462184471</v>
      </c>
      <c r="U112" s="14">
        <f t="shared" si="7"/>
        <v>4.233911418685139</v>
      </c>
      <c r="V112" s="14">
        <f t="shared" si="8"/>
        <v>79.992730908833394</v>
      </c>
      <c r="W112" s="14">
        <f t="shared" si="9"/>
        <v>18.403318635689526</v>
      </c>
    </row>
    <row r="113" spans="1:23" x14ac:dyDescent="0.25">
      <c r="A113" s="15" t="s">
        <v>988</v>
      </c>
      <c r="B113" s="15">
        <v>70.88</v>
      </c>
      <c r="C113" s="15">
        <v>7.16</v>
      </c>
      <c r="D113" s="15">
        <v>21928.59</v>
      </c>
      <c r="E113" s="15">
        <v>9.18</v>
      </c>
      <c r="F113" s="15">
        <v>63.66</v>
      </c>
      <c r="G113" s="15">
        <v>7.19</v>
      </c>
      <c r="H113" s="15">
        <v>6.67</v>
      </c>
      <c r="I113" s="15">
        <v>87.93</v>
      </c>
      <c r="J113" s="15">
        <v>66.92</v>
      </c>
      <c r="K113" s="15">
        <v>8.09</v>
      </c>
      <c r="P113" s="15" t="s">
        <v>984</v>
      </c>
      <c r="Q113" s="15">
        <v>79.69</v>
      </c>
      <c r="R113" s="15">
        <v>9.8699999999999992</v>
      </c>
      <c r="S113" s="14">
        <f t="shared" si="5"/>
        <v>1.0376470588235325</v>
      </c>
      <c r="T113" s="14">
        <f t="shared" si="6"/>
        <v>3.9438655462184471</v>
      </c>
      <c r="U113" s="14">
        <f t="shared" si="7"/>
        <v>1.0767114186851274</v>
      </c>
      <c r="V113" s="14">
        <f t="shared" si="8"/>
        <v>15.55407544664893</v>
      </c>
      <c r="W113" s="14">
        <f t="shared" si="9"/>
        <v>4.0923404844290356</v>
      </c>
    </row>
    <row r="114" spans="1:23" x14ac:dyDescent="0.25">
      <c r="A114" s="15" t="s">
        <v>990</v>
      </c>
      <c r="B114" s="15">
        <v>68.33</v>
      </c>
      <c r="C114" s="15">
        <v>6.61</v>
      </c>
      <c r="D114" s="15">
        <v>23377.24</v>
      </c>
      <c r="E114" s="15">
        <v>8.44</v>
      </c>
      <c r="F114" s="15">
        <v>70.23</v>
      </c>
      <c r="G114" s="15">
        <v>9.5399999999999991</v>
      </c>
      <c r="H114" s="15">
        <v>5.81</v>
      </c>
      <c r="I114" s="15">
        <v>81.69</v>
      </c>
      <c r="J114" s="15">
        <v>72.819999999999993</v>
      </c>
      <c r="K114" s="15">
        <v>6.23</v>
      </c>
      <c r="P114" s="15" t="s">
        <v>988</v>
      </c>
      <c r="Q114" s="15">
        <v>70.88</v>
      </c>
      <c r="R114" s="15">
        <v>7.16</v>
      </c>
      <c r="S114" s="14">
        <f t="shared" si="5"/>
        <v>-1.6723529411764666</v>
      </c>
      <c r="T114" s="14">
        <f t="shared" si="6"/>
        <v>-4.8661344537815552</v>
      </c>
      <c r="U114" s="14">
        <f t="shared" si="7"/>
        <v>2.7967643598615783</v>
      </c>
      <c r="V114" s="14">
        <f t="shared" si="8"/>
        <v>23.679264522279915</v>
      </c>
      <c r="W114" s="14">
        <f t="shared" si="9"/>
        <v>8.137894265941723</v>
      </c>
    </row>
    <row r="115" spans="1:23" x14ac:dyDescent="0.25">
      <c r="A115" s="15" t="s">
        <v>994</v>
      </c>
      <c r="B115" s="15">
        <v>76.19</v>
      </c>
      <c r="C115" s="15">
        <v>9.06</v>
      </c>
      <c r="D115" s="15">
        <v>113998.2</v>
      </c>
      <c r="E115" s="15">
        <v>6.55</v>
      </c>
      <c r="F115" s="15">
        <v>89.38</v>
      </c>
      <c r="G115" s="15">
        <v>33.74</v>
      </c>
      <c r="H115" s="15">
        <v>4.6100000000000003</v>
      </c>
      <c r="I115" s="15">
        <v>92.63</v>
      </c>
      <c r="J115" s="15">
        <v>65.88</v>
      </c>
      <c r="K115" s="15">
        <v>6.06</v>
      </c>
      <c r="P115" s="15" t="s">
        <v>990</v>
      </c>
      <c r="Q115" s="15">
        <v>68.33</v>
      </c>
      <c r="R115" s="15">
        <v>6.61</v>
      </c>
      <c r="S115" s="14">
        <f t="shared" si="5"/>
        <v>-2.2223529411764664</v>
      </c>
      <c r="T115" s="14">
        <f t="shared" si="6"/>
        <v>-7.4161344537815523</v>
      </c>
      <c r="U115" s="14">
        <f t="shared" si="7"/>
        <v>4.9388525951556908</v>
      </c>
      <c r="V115" s="14">
        <f t="shared" si="8"/>
        <v>54.9990502365658</v>
      </c>
      <c r="W115" s="14">
        <f t="shared" si="9"/>
        <v>16.48126821552156</v>
      </c>
    </row>
    <row r="116" spans="1:23" x14ac:dyDescent="0.25">
      <c r="A116" s="15" t="s">
        <v>998</v>
      </c>
      <c r="B116" s="15">
        <v>73.28</v>
      </c>
      <c r="C116" s="15">
        <v>7.88</v>
      </c>
      <c r="D116" s="15">
        <v>63255.33</v>
      </c>
      <c r="E116" s="15">
        <v>4.51</v>
      </c>
      <c r="F116" s="15">
        <v>85.31</v>
      </c>
      <c r="G116" s="15">
        <v>46.69</v>
      </c>
      <c r="H116" s="15">
        <v>5.65</v>
      </c>
      <c r="I116" s="15">
        <v>93.52</v>
      </c>
      <c r="J116" s="15">
        <v>67.77</v>
      </c>
      <c r="K116" s="15">
        <v>9.18</v>
      </c>
      <c r="P116" s="15" t="s">
        <v>994</v>
      </c>
      <c r="Q116" s="15">
        <v>76.19</v>
      </c>
      <c r="R116" s="15">
        <v>9.06</v>
      </c>
      <c r="S116" s="14">
        <f t="shared" si="5"/>
        <v>0.22764705882353375</v>
      </c>
      <c r="T116" s="14">
        <f t="shared" si="6"/>
        <v>0.44386554621844709</v>
      </c>
      <c r="U116" s="14">
        <f t="shared" si="7"/>
        <v>5.1823183391005438E-2</v>
      </c>
      <c r="V116" s="14">
        <f t="shared" si="8"/>
        <v>0.19701662311980039</v>
      </c>
      <c r="W116" s="14">
        <f t="shared" si="9"/>
        <v>0.10104468610973076</v>
      </c>
    </row>
    <row r="117" spans="1:23" x14ac:dyDescent="0.25">
      <c r="A117" s="15" t="s">
        <v>1002</v>
      </c>
      <c r="B117" s="15">
        <v>81.53</v>
      </c>
      <c r="C117" s="15">
        <v>11.14</v>
      </c>
      <c r="D117" s="15">
        <v>125060.3</v>
      </c>
      <c r="E117" s="15">
        <v>5.43</v>
      </c>
      <c r="F117" s="15">
        <v>96.93</v>
      </c>
      <c r="G117" s="15">
        <v>26.98</v>
      </c>
      <c r="H117" s="15">
        <v>4.03</v>
      </c>
      <c r="I117" s="15">
        <v>95.91</v>
      </c>
      <c r="J117" s="15">
        <v>66.02</v>
      </c>
      <c r="K117" s="15">
        <v>5.92</v>
      </c>
      <c r="P117" s="15" t="s">
        <v>998</v>
      </c>
      <c r="Q117" s="15">
        <v>73.28</v>
      </c>
      <c r="R117" s="15">
        <v>7.88</v>
      </c>
      <c r="S117" s="14">
        <f t="shared" si="5"/>
        <v>-0.95235294117646685</v>
      </c>
      <c r="T117" s="14">
        <f t="shared" si="6"/>
        <v>-2.4661344537815495</v>
      </c>
      <c r="U117" s="14">
        <f t="shared" si="7"/>
        <v>0.9069761245674669</v>
      </c>
      <c r="V117" s="14">
        <f t="shared" si="8"/>
        <v>6.0818191441284215</v>
      </c>
      <c r="W117" s="14">
        <f t="shared" si="9"/>
        <v>2.3486304003954781</v>
      </c>
    </row>
    <row r="118" spans="1:23" x14ac:dyDescent="0.25">
      <c r="A118" s="15" t="s">
        <v>1005</v>
      </c>
      <c r="B118" s="15">
        <v>78.83</v>
      </c>
      <c r="C118" s="15">
        <v>10.39</v>
      </c>
      <c r="D118" s="15">
        <v>88628.11</v>
      </c>
      <c r="E118" s="15">
        <v>3.75</v>
      </c>
      <c r="F118" s="15">
        <v>97.1</v>
      </c>
      <c r="G118" s="15">
        <v>56.16</v>
      </c>
      <c r="H118" s="15">
        <v>5.05</v>
      </c>
      <c r="I118" s="15">
        <v>89.17</v>
      </c>
      <c r="J118" s="15">
        <v>60.83</v>
      </c>
      <c r="K118" s="15">
        <v>6.08</v>
      </c>
      <c r="P118" s="15" t="s">
        <v>1002</v>
      </c>
      <c r="Q118" s="15">
        <v>81.53</v>
      </c>
      <c r="R118" s="15">
        <v>11.14</v>
      </c>
      <c r="S118" s="14">
        <f t="shared" si="5"/>
        <v>2.3076470588235338</v>
      </c>
      <c r="T118" s="14">
        <f t="shared" si="6"/>
        <v>5.7838655462184505</v>
      </c>
      <c r="U118" s="14">
        <f t="shared" si="7"/>
        <v>5.3252349480969059</v>
      </c>
      <c r="V118" s="14">
        <f t="shared" si="8"/>
        <v>33.453100656732857</v>
      </c>
      <c r="W118" s="14">
        <f t="shared" si="9"/>
        <v>13.34712031636178</v>
      </c>
    </row>
    <row r="119" spans="1:23" x14ac:dyDescent="0.25">
      <c r="A119" s="15" t="s">
        <v>1009</v>
      </c>
      <c r="B119" s="15">
        <v>76.900000000000006</v>
      </c>
      <c r="C119" s="15">
        <v>8.93</v>
      </c>
      <c r="D119" s="15">
        <v>26863.08</v>
      </c>
      <c r="E119" s="15">
        <v>5.65</v>
      </c>
      <c r="F119" s="15">
        <v>92.71</v>
      </c>
      <c r="G119" s="15">
        <v>4.6100000000000003</v>
      </c>
      <c r="H119" s="15">
        <v>6.45</v>
      </c>
      <c r="I119" s="15">
        <v>93.59</v>
      </c>
      <c r="J119" s="15">
        <v>69.099999999999994</v>
      </c>
      <c r="K119" s="15">
        <v>7.12</v>
      </c>
      <c r="P119" s="15" t="s">
        <v>1005</v>
      </c>
      <c r="Q119" s="15">
        <v>78.83</v>
      </c>
      <c r="R119" s="15">
        <v>10.39</v>
      </c>
      <c r="S119" s="14">
        <f t="shared" si="5"/>
        <v>1.5576470588235338</v>
      </c>
      <c r="T119" s="14">
        <f t="shared" si="6"/>
        <v>3.0838655462184477</v>
      </c>
      <c r="U119" s="14">
        <f t="shared" si="7"/>
        <v>2.4262643598616056</v>
      </c>
      <c r="V119" s="14">
        <f t="shared" si="8"/>
        <v>9.5102267071532047</v>
      </c>
      <c r="W119" s="14">
        <f t="shared" si="9"/>
        <v>4.8035740978743959</v>
      </c>
    </row>
    <row r="120" spans="1:23" x14ac:dyDescent="0.25">
      <c r="A120" s="15" t="s">
        <v>1013</v>
      </c>
      <c r="B120" s="15">
        <v>84.16</v>
      </c>
      <c r="C120" s="15">
        <v>11.86</v>
      </c>
      <c r="D120" s="15">
        <v>73052.84</v>
      </c>
      <c r="E120" s="15">
        <v>2.36</v>
      </c>
      <c r="F120" s="15">
        <v>99.34</v>
      </c>
      <c r="G120" s="15">
        <v>8.09</v>
      </c>
      <c r="H120" s="15">
        <v>7.96</v>
      </c>
      <c r="I120" s="15">
        <v>95.29</v>
      </c>
      <c r="J120" s="15">
        <v>58.13</v>
      </c>
      <c r="K120" s="15">
        <v>5.09</v>
      </c>
      <c r="P120" s="15" t="s">
        <v>1009</v>
      </c>
      <c r="Q120" s="15">
        <v>76.900000000000006</v>
      </c>
      <c r="R120" s="15">
        <v>8.93</v>
      </c>
      <c r="S120" s="14">
        <f t="shared" si="5"/>
        <v>9.7647058823532973E-2</v>
      </c>
      <c r="T120" s="14">
        <f t="shared" si="6"/>
        <v>1.1538655462184551</v>
      </c>
      <c r="U120" s="14">
        <f t="shared" si="7"/>
        <v>9.5349480968865089E-3</v>
      </c>
      <c r="V120" s="14">
        <f t="shared" si="8"/>
        <v>1.3314056987500136</v>
      </c>
      <c r="W120" s="14">
        <f t="shared" si="9"/>
        <v>0.11267157686604148</v>
      </c>
    </row>
    <row r="121" spans="1:23" x14ac:dyDescent="0.25">
      <c r="P121" s="15" t="s">
        <v>1013</v>
      </c>
      <c r="Q121" s="15">
        <v>84.16</v>
      </c>
      <c r="R121" s="15">
        <v>11.86</v>
      </c>
      <c r="S121" s="14">
        <f t="shared" si="5"/>
        <v>3.0276470588235327</v>
      </c>
      <c r="T121" s="14">
        <f t="shared" si="6"/>
        <v>8.413865546218446</v>
      </c>
      <c r="U121" s="14">
        <f t="shared" si="7"/>
        <v>9.1666467128027875</v>
      </c>
      <c r="V121" s="14">
        <f t="shared" si="8"/>
        <v>70.793133429841831</v>
      </c>
      <c r="W121" s="14">
        <f t="shared" si="9"/>
        <v>25.474215274344935</v>
      </c>
    </row>
    <row r="122" spans="1:23" x14ac:dyDescent="0.25">
      <c r="O122" s="16" t="s">
        <v>1707</v>
      </c>
      <c r="P122" s="16"/>
      <c r="Q122" s="16">
        <f>AVERAGE(Q3:Q121)</f>
        <v>75.746134453781551</v>
      </c>
      <c r="R122" s="16">
        <f>AVERAGE(R3:R121)</f>
        <v>8.8323529411764667</v>
      </c>
      <c r="S122" s="16"/>
      <c r="T122" s="16"/>
      <c r="U122" s="16"/>
      <c r="V122" s="16"/>
      <c r="W122" s="16"/>
    </row>
    <row r="123" spans="1:23" x14ac:dyDescent="0.25">
      <c r="O123" s="16"/>
      <c r="P123" s="16" t="s">
        <v>1712</v>
      </c>
      <c r="Q123" s="16">
        <f>SUM(Q3:Q121)</f>
        <v>9013.7900000000045</v>
      </c>
      <c r="R123" s="16">
        <f t="shared" ref="R123:W123" si="10">SUM(R3:R121)</f>
        <v>1051.0499999999995</v>
      </c>
      <c r="S123" s="16">
        <f t="shared" si="10"/>
        <v>4.5830006456526462E-13</v>
      </c>
      <c r="T123" s="16">
        <f t="shared" si="10"/>
        <v>-4.5758952182950452E-12</v>
      </c>
      <c r="U123" s="16">
        <f t="shared" si="10"/>
        <v>319.19214117647056</v>
      </c>
      <c r="V123" s="16">
        <f>SUM(V3:V121)</f>
        <v>2969.6208218487391</v>
      </c>
      <c r="W123" s="16">
        <f t="shared" si="10"/>
        <v>917.66998235294102</v>
      </c>
    </row>
    <row r="124" spans="1:23" x14ac:dyDescent="0.25">
      <c r="O124" s="27"/>
      <c r="P124" s="27"/>
      <c r="Q124" s="27"/>
      <c r="R124" s="27"/>
      <c r="S124" s="27"/>
      <c r="T124" s="27"/>
      <c r="U124" s="27"/>
      <c r="V124" s="27"/>
      <c r="W124" s="27"/>
    </row>
    <row r="126" spans="1:23" x14ac:dyDescent="0.25">
      <c r="P126" s="14" t="s">
        <v>1713</v>
      </c>
      <c r="Q126" s="14">
        <f>W123/U123</f>
        <v>2.8749767427563082</v>
      </c>
      <c r="S126" s="14">
        <f>INTERCEPT(Q3:Q121,R3:R121)</f>
        <v>50.353325164083934</v>
      </c>
      <c r="T126" s="14" t="s">
        <v>1715</v>
      </c>
    </row>
    <row r="127" spans="1:23" x14ac:dyDescent="0.25">
      <c r="P127" s="14" t="s">
        <v>1714</v>
      </c>
      <c r="Q127" s="14">
        <f>Q122-(Q126*R122)</f>
        <v>50.353325164083934</v>
      </c>
      <c r="S127" s="14">
        <f>SLOPE(Q3:Q121,R3:R121)</f>
        <v>2.8749767427563082</v>
      </c>
      <c r="T127" s="14" t="s">
        <v>1716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tabSelected="1" topLeftCell="AH1" zoomScale="84" workbookViewId="0">
      <selection activeCell="AK10" sqref="AK10"/>
    </sheetView>
  </sheetViews>
  <sheetFormatPr defaultColWidth="12.6328125" defaultRowHeight="15.75" customHeight="1" x14ac:dyDescent="0.25"/>
  <sheetData>
    <row r="1" spans="1:60" ht="42.5" customHeight="1" x14ac:dyDescent="0.3">
      <c r="A1" s="20" t="s">
        <v>0</v>
      </c>
      <c r="B1" s="22" t="s">
        <v>1</v>
      </c>
      <c r="C1" s="17" t="s">
        <v>2</v>
      </c>
      <c r="D1" s="18"/>
      <c r="E1" s="18"/>
      <c r="F1" s="18"/>
      <c r="G1" s="19"/>
      <c r="H1" s="23" t="s">
        <v>3</v>
      </c>
      <c r="I1" s="18"/>
      <c r="J1" s="18"/>
      <c r="K1" s="18"/>
      <c r="L1" s="19"/>
      <c r="M1" s="17" t="s">
        <v>4</v>
      </c>
      <c r="N1" s="18"/>
      <c r="O1" s="18"/>
      <c r="P1" s="18"/>
      <c r="Q1" s="19"/>
      <c r="R1" s="24" t="s">
        <v>5</v>
      </c>
      <c r="S1" s="18"/>
      <c r="T1" s="18"/>
      <c r="U1" s="18"/>
      <c r="V1" s="19"/>
      <c r="W1" s="25" t="s">
        <v>6</v>
      </c>
      <c r="X1" s="18"/>
      <c r="Y1" s="18"/>
      <c r="Z1" s="18"/>
      <c r="AA1" s="19"/>
      <c r="AB1" s="26" t="s">
        <v>7</v>
      </c>
      <c r="AC1" s="18"/>
      <c r="AD1" s="19"/>
      <c r="AE1" s="17" t="s">
        <v>8</v>
      </c>
      <c r="AF1" s="18"/>
      <c r="AG1" s="18"/>
      <c r="AH1" s="18"/>
      <c r="AI1" s="19"/>
      <c r="AJ1" s="24" t="s">
        <v>9</v>
      </c>
      <c r="AK1" s="18"/>
      <c r="AL1" s="18"/>
      <c r="AM1" s="18"/>
      <c r="AN1" s="19"/>
      <c r="AO1" s="17" t="s">
        <v>10</v>
      </c>
      <c r="AP1" s="18"/>
      <c r="AQ1" s="18"/>
      <c r="AR1" s="18"/>
      <c r="AS1" s="19"/>
      <c r="AT1" s="24" t="s">
        <v>11</v>
      </c>
      <c r="AU1" s="18"/>
      <c r="AV1" s="18"/>
      <c r="AW1" s="18"/>
      <c r="AX1" s="19"/>
      <c r="AY1" s="17" t="s">
        <v>12</v>
      </c>
      <c r="AZ1" s="18"/>
      <c r="BA1" s="18"/>
      <c r="BB1" s="18"/>
      <c r="BC1" s="19"/>
      <c r="BD1" s="1"/>
      <c r="BE1" s="2"/>
      <c r="BF1" s="2"/>
      <c r="BG1" s="2"/>
      <c r="BH1" s="2"/>
    </row>
    <row r="2" spans="1:60" ht="13" x14ac:dyDescent="0.3">
      <c r="A2" s="21"/>
      <c r="B2" s="21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5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5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5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5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5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5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5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5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5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5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5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5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5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5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5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5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5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5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5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5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5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5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5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5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5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5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5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5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5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5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5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5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5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5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5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5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5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5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5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5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5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5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5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5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5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5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5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5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5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5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5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5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5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5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5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5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5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5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5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5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5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5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5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5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5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5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5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5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5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5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5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5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5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5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5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5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5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5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5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5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5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5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5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5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5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5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5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5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5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5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5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5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5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5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5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5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5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5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5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5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5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5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5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5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5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5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5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5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5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5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5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5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5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5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5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5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5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5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5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5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5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5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5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5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5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5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5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5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5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5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5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5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5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5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5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5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5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5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5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5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5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5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5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5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5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5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5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5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5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5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5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5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5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5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5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5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5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5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5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5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5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5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5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5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5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5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5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5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5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5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5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5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5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5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5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5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5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5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5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5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5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5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5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5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5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5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5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5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5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5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5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5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5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5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5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5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5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5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5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5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5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5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5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5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5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5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5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5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5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5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5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5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5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5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5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5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5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5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5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5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5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5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5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5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5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5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5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5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5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5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5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5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5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5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5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5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5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5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5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5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5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5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5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5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5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5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5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5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5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5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5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5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5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5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5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5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5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5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5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5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5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5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5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5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5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5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5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5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5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5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5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5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5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5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5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5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5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5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5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5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5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5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5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5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5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5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5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5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5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5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5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5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5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5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5" x14ac:dyDescent="0.3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5" x14ac:dyDescent="0.3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5" x14ac:dyDescent="0.3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5" x14ac:dyDescent="0.3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5" x14ac:dyDescent="0.3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5" x14ac:dyDescent="0.3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5" x14ac:dyDescent="0.3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5" x14ac:dyDescent="0.3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5" x14ac:dyDescent="0.3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5" x14ac:dyDescent="0.3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5" x14ac:dyDescent="0.3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5" x14ac:dyDescent="0.3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5" x14ac:dyDescent="0.3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5" x14ac:dyDescent="0.3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5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5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5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5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5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5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5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5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5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5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5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5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5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5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5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5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5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5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5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5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5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5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5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5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5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5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5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5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5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5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5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5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5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5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5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5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5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5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5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5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5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5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5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5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5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5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5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5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5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5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5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5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5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5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5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5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5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5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5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5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5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5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5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5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5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5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5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5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5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5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5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5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5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5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5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5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5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5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5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5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5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5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5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5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5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5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5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5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5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5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5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5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5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5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5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5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5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5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5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5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5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5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5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5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5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5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5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5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5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5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5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5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5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5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5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5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5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5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5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5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5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5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5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5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5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5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5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5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5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5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5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5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5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5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5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5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5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5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5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5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5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5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5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5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5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5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5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5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5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5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5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5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5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5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5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5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5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5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5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5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5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5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5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5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5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5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5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5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5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5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5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5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5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5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5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5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5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5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5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5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5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5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5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5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5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5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Anreg_edlyn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EDLYN AISHA MAHARANI</cp:lastModifiedBy>
  <dcterms:modified xsi:type="dcterms:W3CDTF">2026-02-09T10:08:04Z</dcterms:modified>
</cp:coreProperties>
</file>