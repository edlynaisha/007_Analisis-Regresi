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2f6335e1eb7810/Desktop/SEM 4/ANREG/"/>
    </mc:Choice>
  </mc:AlternateContent>
  <xr:revisionPtr revIDLastSave="0" documentId="13_ncr:1_{F317310E-99C4-441D-B250-FD07E12E34FA}" xr6:coauthVersionLast="47" xr6:coauthVersionMax="47" xr10:uidLastSave="{00000000-0000-0000-0000-000000000000}"/>
  <bookViews>
    <workbookView xWindow="-90" yWindow="0" windowWidth="9780" windowHeight="11370" xr2:uid="{D2CA9488-69E9-47FB-8F88-A5B693DA6A7C}"/>
  </bookViews>
  <sheets>
    <sheet name="Sheet1" sheetId="1" r:id="rId1"/>
    <sheet name="THN 20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2" l="1"/>
  <c r="L31" i="2"/>
  <c r="L29" i="2"/>
  <c r="L28" i="2"/>
  <c r="L27" i="2"/>
  <c r="L26" i="2"/>
  <c r="L25" i="2"/>
  <c r="L24" i="2"/>
  <c r="L23" i="2"/>
  <c r="L22" i="2"/>
  <c r="L21" i="2"/>
  <c r="L20" i="2"/>
  <c r="L19" i="2"/>
  <c r="L18" i="2"/>
  <c r="L7" i="2"/>
  <c r="L17" i="2"/>
  <c r="L16" i="2"/>
  <c r="L15" i="2"/>
  <c r="L14" i="2"/>
  <c r="L13" i="2"/>
  <c r="L12" i="2"/>
  <c r="L11" i="2"/>
  <c r="L10" i="2"/>
  <c r="L9" i="2"/>
  <c r="L8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<sst xmlns="http://schemas.openxmlformats.org/spreadsheetml/2006/main" count="137" uniqueCount="60">
  <si>
    <t>No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</si>
  <si>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</si>
  <si>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</si>
  <si>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</si>
  <si>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</si>
  <si>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</si>
  <si>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</si>
  <si>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</si>
  <si>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</si>
  <si>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</si>
  <si>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Bangka Belitung</t>
  </si>
  <si>
    <t>Kepulauan Riau</t>
  </si>
  <si>
    <t>DKI Jakarta</t>
  </si>
  <si>
    <t>Jawa Barat</t>
  </si>
  <si>
    <t>Jawa Tengah</t>
  </si>
  <si>
    <t>DI.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</si>
  <si>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</si>
  <si>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</si>
  <si>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</si>
  <si>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</si>
  <si>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</si>
  <si>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</si>
  <si>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</si>
  <si>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</si>
  <si>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</si>
  <si>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</si>
  <si>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</si>
  <si>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</si>
  <si>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</si>
  <si>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</si>
  <si>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</si>
  <si>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</si>
  <si>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</si>
  <si>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</si>
  <si>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</si>
  <si>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</si>
  <si>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Papua Selatan</t>
  </si>
  <si>
    <t>Papua Barat Daya</t>
  </si>
  <si>
    <t xml:space="preserve">Papua Tengah </t>
  </si>
  <si>
    <t xml:space="preserve">Papua Pegunungan </t>
  </si>
  <si>
    <t>TPT</t>
  </si>
  <si>
    <t>PDRB</t>
  </si>
  <si>
    <t>Inflasi</t>
  </si>
  <si>
    <t>RLS</t>
  </si>
  <si>
    <t>TPAK</t>
  </si>
  <si>
    <t>UMP</t>
  </si>
  <si>
    <t>KP</t>
  </si>
  <si>
    <t>IPIMK</t>
  </si>
  <si>
    <t>y</t>
  </si>
  <si>
    <t>x1</t>
  </si>
  <si>
    <t>x2</t>
  </si>
  <si>
    <t>x3</t>
  </si>
  <si>
    <t>x4</t>
  </si>
  <si>
    <t>x5</t>
  </si>
  <si>
    <t>STAT DESC</t>
  </si>
  <si>
    <t>mean</t>
  </si>
  <si>
    <t xml:space="preserve">median </t>
  </si>
  <si>
    <t>max</t>
  </si>
  <si>
    <t>min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</si>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</sst>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4" fontId="0" fillId="0" borderId="1" xfId="0" applyNumberFormat="1" applyBorder="1"/>
    <xf numFmtId="3" fontId="0" fillId="0" borderId="1" xfId="0" applyNumberFormat="1" applyBorder="1"/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2">
    <cellStyle name="Normal" xfId="0" builtinId="0"/>
    <cellStyle name="Normal 2" xfId="1" xr:uid="{89A787AF-12A6-4F47-8DB6-E98C4E363E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8F4F4-2143-499F-966F-F622B6AB57D6}">
  <dimension ref="A2:J40"/>
  <sheetViews>
    <sheetView tabSelected="1" zoomScale="106" workbookViewId="0">
      <selection activeCell="B9" sqref="B9"/>
    </sheetView>
  </sheetViews>
  <sheetFormatPr defaultRowHeight="14" x14ac:dyDescent="0.35"/>
  <cols>
    <col min="1" max="1" width="8.7265625" style="4"/>
    <col min="2" max="2" width="17.81640625" style="4" bestFit="1" customWidth="1"/>
    <col min="3" max="3" width="16.7265625" style="4" bestFit="1" customWidth="1"/>
    <col min="4" max="4" width="13.26953125" style="4" customWidth="1"/>
    <col min="5" max="5" width="8.7265625" style="4"/>
    <col min="6" max="6" width="11.6328125" style="4" customWidth="1"/>
    <col min="7" max="7" width="10.81640625" style="4" customWidth="1"/>
    <col min="8" max="16384" width="8.7265625" style="4"/>
  </cols>
  <sheetData>
    <row r="2" spans="1:10" ht="45" customHeight="1" x14ac:dyDescent="0.35">
      <c r="A2" s="3" t="s">
        <v>0</v>
      </c>
      <c r="B2" s="3" t="s">
        <v>1</v>
      </c>
      <c r="C2" s="3" t="s">
        <v>45</v>
      </c>
      <c r="D2" s="2" t="s">
        <v>41</v>
      </c>
      <c r="E2" s="3" t="s">
        <v>40</v>
      </c>
      <c r="F2" s="2" t="s">
        <v>46</v>
      </c>
      <c r="G2" s="3" t="s">
        <v>42</v>
      </c>
      <c r="H2" s="3" t="s">
        <v>47</v>
      </c>
      <c r="I2" s="8" t="s">
        <v>43</v>
      </c>
      <c r="J2" s="8" t="s">
        <v>44</v>
      </c>
    </row>
    <row r="3" spans="1:10" ht="15.5" x14ac:dyDescent="0.35">
      <c r="A3" s="1">
        <v>1</v>
      </c>
      <c r="B3" s="1" t="s">
        <v>2</v>
      </c>
      <c r="C3" s="5">
        <v>3460672</v>
      </c>
      <c r="D3" s="6">
        <v>43782</v>
      </c>
      <c r="E3" s="7">
        <v>5.75</v>
      </c>
      <c r="F3" s="1">
        <v>98</v>
      </c>
      <c r="G3" s="7">
        <v>2.17</v>
      </c>
      <c r="H3" s="7">
        <v>210.47</v>
      </c>
      <c r="I3" s="1">
        <v>9.64</v>
      </c>
      <c r="J3" s="1">
        <v>65.11</v>
      </c>
    </row>
    <row r="4" spans="1:10" ht="15.5" x14ac:dyDescent="0.35">
      <c r="A4" s="1">
        <v>2</v>
      </c>
      <c r="B4" s="1" t="s">
        <v>3</v>
      </c>
      <c r="C4" s="5">
        <v>2809915</v>
      </c>
      <c r="D4" s="6">
        <v>73575</v>
      </c>
      <c r="E4" s="7">
        <v>5.6</v>
      </c>
      <c r="F4" s="1">
        <v>215</v>
      </c>
      <c r="G4" s="7">
        <v>2.12</v>
      </c>
      <c r="H4" s="7">
        <v>167.02</v>
      </c>
      <c r="I4" s="1">
        <v>9.93</v>
      </c>
      <c r="J4" s="1">
        <v>71.36</v>
      </c>
    </row>
    <row r="5" spans="1:10" ht="15.5" x14ac:dyDescent="0.35">
      <c r="A5" s="1">
        <v>3</v>
      </c>
      <c r="B5" s="1" t="s">
        <v>4</v>
      </c>
      <c r="C5" s="5">
        <v>2811449.27</v>
      </c>
      <c r="D5" s="6">
        <v>57047</v>
      </c>
      <c r="E5" s="7">
        <v>5.75</v>
      </c>
      <c r="F5" s="1">
        <v>139</v>
      </c>
      <c r="G5" s="7">
        <v>0.89</v>
      </c>
      <c r="H5" s="7">
        <v>130.6</v>
      </c>
      <c r="I5" s="1">
        <v>9.44</v>
      </c>
      <c r="J5" s="1">
        <v>70.28</v>
      </c>
    </row>
    <row r="6" spans="1:10" ht="15.5" x14ac:dyDescent="0.35">
      <c r="A6" s="1">
        <v>4</v>
      </c>
      <c r="B6" s="1" t="s">
        <v>5</v>
      </c>
      <c r="C6" s="5">
        <v>3294625.56</v>
      </c>
      <c r="D6" s="6">
        <v>165350</v>
      </c>
      <c r="E6" s="7">
        <v>3.7</v>
      </c>
      <c r="F6" s="1">
        <v>75</v>
      </c>
      <c r="G6" s="7">
        <v>1.25</v>
      </c>
      <c r="H6" s="7">
        <v>113.82</v>
      </c>
      <c r="I6" s="1">
        <v>9.43</v>
      </c>
      <c r="J6" s="1">
        <v>66.33</v>
      </c>
    </row>
    <row r="7" spans="1:10" ht="15.5" x14ac:dyDescent="0.35">
      <c r="A7" s="1">
        <v>5</v>
      </c>
      <c r="B7" s="1" t="s">
        <v>6</v>
      </c>
      <c r="C7" s="5">
        <v>3037121.85</v>
      </c>
      <c r="D7" s="6">
        <v>86722</v>
      </c>
      <c r="E7" s="7">
        <v>4.4800000000000004</v>
      </c>
      <c r="F7" s="1">
        <v>76</v>
      </c>
      <c r="G7" s="7">
        <v>1.43</v>
      </c>
      <c r="H7" s="7">
        <v>163</v>
      </c>
      <c r="I7" s="1">
        <v>8.9</v>
      </c>
      <c r="J7" s="1">
        <v>68.87</v>
      </c>
    </row>
    <row r="8" spans="1:10" ht="15.5" x14ac:dyDescent="0.35">
      <c r="A8" s="1">
        <v>6</v>
      </c>
      <c r="B8" s="1" t="s">
        <v>7</v>
      </c>
      <c r="C8" s="5">
        <v>3456874</v>
      </c>
      <c r="D8" s="6">
        <v>75132</v>
      </c>
      <c r="E8" s="7">
        <v>3.86</v>
      </c>
      <c r="F8" s="1">
        <v>102</v>
      </c>
      <c r="G8" s="7">
        <v>1.2</v>
      </c>
      <c r="H8" s="7">
        <v>183.35</v>
      </c>
      <c r="I8" s="1">
        <v>8.57</v>
      </c>
      <c r="J8" s="1">
        <v>70.819999999999993</v>
      </c>
    </row>
    <row r="9" spans="1:10" ht="15.5" x14ac:dyDescent="0.35">
      <c r="A9" s="1">
        <v>7</v>
      </c>
      <c r="B9" s="1" t="s">
        <v>8</v>
      </c>
      <c r="C9" s="5">
        <v>2507079.2400000002</v>
      </c>
      <c r="D9" s="6">
        <v>49233</v>
      </c>
      <c r="E9" s="7">
        <v>3.11</v>
      </c>
      <c r="F9" s="1">
        <v>105</v>
      </c>
      <c r="G9" s="7">
        <v>0.84</v>
      </c>
      <c r="H9" s="7">
        <v>197.12</v>
      </c>
      <c r="I9" s="1">
        <v>9.0399999999999991</v>
      </c>
      <c r="J9" s="1">
        <v>71.709999999999994</v>
      </c>
    </row>
    <row r="10" spans="1:10" ht="15.5" x14ac:dyDescent="0.35">
      <c r="A10" s="1">
        <v>8</v>
      </c>
      <c r="B10" s="1" t="s">
        <v>9</v>
      </c>
      <c r="C10" s="5">
        <v>2716497</v>
      </c>
      <c r="D10" s="6">
        <v>51370</v>
      </c>
      <c r="E10" s="7">
        <v>4.1900000000000004</v>
      </c>
      <c r="F10" s="1">
        <v>281</v>
      </c>
      <c r="G10" s="7">
        <v>1.57</v>
      </c>
      <c r="H10" s="7">
        <v>193.39</v>
      </c>
      <c r="I10" s="1">
        <v>8.36</v>
      </c>
      <c r="J10" s="1">
        <v>70.41</v>
      </c>
    </row>
    <row r="11" spans="1:10" ht="15.5" x14ac:dyDescent="0.35">
      <c r="A11" s="1">
        <v>9</v>
      </c>
      <c r="B11" s="1" t="s">
        <v>10</v>
      </c>
      <c r="C11" s="5">
        <v>3640000</v>
      </c>
      <c r="D11" s="6">
        <v>70194</v>
      </c>
      <c r="E11" s="7">
        <v>4.63</v>
      </c>
      <c r="F11" s="1">
        <v>92</v>
      </c>
      <c r="G11" s="7">
        <v>0.75</v>
      </c>
      <c r="H11" s="7">
        <v>132.41</v>
      </c>
      <c r="I11" s="1">
        <v>8.33</v>
      </c>
      <c r="J11" s="1">
        <v>68.87</v>
      </c>
    </row>
    <row r="12" spans="1:10" ht="15.5" x14ac:dyDescent="0.35">
      <c r="A12" s="1">
        <v>10</v>
      </c>
      <c r="B12" s="1" t="s">
        <v>11</v>
      </c>
      <c r="C12" s="5">
        <v>3402492</v>
      </c>
      <c r="D12" s="6">
        <v>161424</v>
      </c>
      <c r="E12" s="7">
        <v>6.39</v>
      </c>
      <c r="F12" s="1">
        <v>264</v>
      </c>
      <c r="G12" s="7">
        <v>2.09</v>
      </c>
      <c r="H12" s="7">
        <v>246.14</v>
      </c>
      <c r="I12" s="1">
        <v>10.5</v>
      </c>
      <c r="J12" s="1">
        <v>69.17</v>
      </c>
    </row>
    <row r="13" spans="1:10" ht="15.5" x14ac:dyDescent="0.35">
      <c r="A13" s="1">
        <v>11</v>
      </c>
      <c r="B13" s="1" t="s">
        <v>12</v>
      </c>
      <c r="C13" s="5">
        <v>5067381</v>
      </c>
      <c r="D13" s="6">
        <v>344350</v>
      </c>
      <c r="E13" s="7">
        <v>6.21</v>
      </c>
      <c r="F13" s="1">
        <v>16165</v>
      </c>
      <c r="G13" s="7">
        <v>1.48</v>
      </c>
      <c r="H13" s="7">
        <v>219.54</v>
      </c>
      <c r="I13" s="1">
        <v>11.49</v>
      </c>
      <c r="J13" s="1">
        <v>65.099999999999994</v>
      </c>
    </row>
    <row r="14" spans="1:10" ht="15.5" x14ac:dyDescent="0.35">
      <c r="A14" s="1">
        <v>12</v>
      </c>
      <c r="B14" s="1" t="s">
        <v>13</v>
      </c>
      <c r="C14" s="5">
        <v>2057495</v>
      </c>
      <c r="D14" s="6">
        <v>56080</v>
      </c>
      <c r="E14" s="7">
        <v>6.75</v>
      </c>
      <c r="F14" s="1">
        <v>1359</v>
      </c>
      <c r="G14" s="7">
        <v>1.64</v>
      </c>
      <c r="H14" s="7">
        <v>125.09</v>
      </c>
      <c r="I14" s="1">
        <v>8.8699999999999992</v>
      </c>
      <c r="J14" s="1">
        <v>67.709999999999994</v>
      </c>
    </row>
    <row r="15" spans="1:10" ht="15.5" x14ac:dyDescent="0.35">
      <c r="A15" s="1">
        <v>13</v>
      </c>
      <c r="B15" s="1" t="s">
        <v>14</v>
      </c>
      <c r="C15" s="5">
        <v>2036947</v>
      </c>
      <c r="D15" s="6">
        <v>47972</v>
      </c>
      <c r="E15" s="7">
        <v>4.78</v>
      </c>
      <c r="F15" s="1">
        <v>1104</v>
      </c>
      <c r="G15" s="7">
        <v>1.67</v>
      </c>
      <c r="H15" s="7">
        <v>115.91</v>
      </c>
      <c r="I15" s="1">
        <v>8.02</v>
      </c>
      <c r="J15" s="1">
        <v>73.739999999999995</v>
      </c>
    </row>
    <row r="16" spans="1:10" ht="15.5" x14ac:dyDescent="0.35">
      <c r="A16" s="1">
        <v>14</v>
      </c>
      <c r="B16" s="1" t="s">
        <v>15</v>
      </c>
      <c r="C16" s="5">
        <v>2125897.61</v>
      </c>
      <c r="D16" s="6">
        <v>51473</v>
      </c>
      <c r="E16" s="7">
        <v>3.48</v>
      </c>
      <c r="F16" s="1">
        <v>1186</v>
      </c>
      <c r="G16" s="7">
        <v>1.28</v>
      </c>
      <c r="H16" s="7">
        <v>200.89</v>
      </c>
      <c r="I16" s="1">
        <v>9.92</v>
      </c>
      <c r="J16" s="1">
        <v>74.78</v>
      </c>
    </row>
    <row r="17" spans="1:10" ht="15.5" x14ac:dyDescent="0.35">
      <c r="A17" s="1">
        <v>15</v>
      </c>
      <c r="B17" s="1" t="s">
        <v>16</v>
      </c>
      <c r="C17" s="5">
        <v>2165244.2999999998</v>
      </c>
      <c r="D17" s="6">
        <v>75770</v>
      </c>
      <c r="E17" s="7">
        <v>4.1900000000000004</v>
      </c>
      <c r="F17" s="1">
        <v>870</v>
      </c>
      <c r="G17" s="7">
        <v>1.51</v>
      </c>
      <c r="H17" s="7">
        <v>204.52</v>
      </c>
      <c r="I17" s="1">
        <v>8.2799999999999994</v>
      </c>
      <c r="J17" s="1">
        <v>73.45</v>
      </c>
    </row>
    <row r="18" spans="1:10" ht="15.5" x14ac:dyDescent="0.35">
      <c r="A18" s="1">
        <v>16</v>
      </c>
      <c r="B18" s="1" t="s">
        <v>17</v>
      </c>
      <c r="C18" s="5">
        <v>2727812.11</v>
      </c>
      <c r="D18" s="6">
        <v>70276</v>
      </c>
      <c r="E18" s="7">
        <v>6.68</v>
      </c>
      <c r="F18" s="1">
        <v>1329</v>
      </c>
      <c r="G18" s="7">
        <v>1.88</v>
      </c>
      <c r="H18" s="7">
        <v>138.6</v>
      </c>
      <c r="I18" s="1">
        <v>9.23</v>
      </c>
      <c r="J18" s="1">
        <v>66.17</v>
      </c>
    </row>
    <row r="19" spans="1:10" ht="15.5" x14ac:dyDescent="0.35">
      <c r="A19" s="1">
        <v>17</v>
      </c>
      <c r="B19" s="1" t="s">
        <v>18</v>
      </c>
      <c r="C19" s="5">
        <v>2813672</v>
      </c>
      <c r="D19" s="6">
        <v>67319</v>
      </c>
      <c r="E19" s="7">
        <v>1.79</v>
      </c>
      <c r="F19" s="1">
        <v>793</v>
      </c>
      <c r="G19" s="7">
        <v>2.34</v>
      </c>
      <c r="H19" s="7">
        <v>222.99</v>
      </c>
      <c r="I19" s="1">
        <v>9.5399999999999991</v>
      </c>
      <c r="J19" s="1">
        <v>77.11</v>
      </c>
    </row>
    <row r="20" spans="1:10" ht="15.5" x14ac:dyDescent="0.35">
      <c r="A20" s="1">
        <v>18</v>
      </c>
      <c r="B20" s="1" t="s">
        <v>19</v>
      </c>
      <c r="C20" s="5">
        <v>2444067</v>
      </c>
      <c r="D20" s="6">
        <v>32282</v>
      </c>
      <c r="E20" s="7">
        <v>2.73</v>
      </c>
      <c r="F20" s="1">
        <v>287</v>
      </c>
      <c r="G20" s="7">
        <v>1.28</v>
      </c>
      <c r="H20" s="7">
        <v>141.05000000000001</v>
      </c>
      <c r="I20" s="1">
        <v>7.87</v>
      </c>
      <c r="J20" s="1">
        <v>77.23</v>
      </c>
    </row>
    <row r="21" spans="1:10" ht="15.5" x14ac:dyDescent="0.35">
      <c r="A21" s="1">
        <v>19</v>
      </c>
      <c r="B21" s="1" t="s">
        <v>20</v>
      </c>
      <c r="C21" s="5">
        <v>2186826</v>
      </c>
      <c r="D21" s="6">
        <v>24272</v>
      </c>
      <c r="E21" s="7">
        <v>3.02</v>
      </c>
      <c r="F21" s="1">
        <v>122</v>
      </c>
      <c r="G21" s="7">
        <v>1.19</v>
      </c>
      <c r="H21" s="7">
        <v>398.86</v>
      </c>
      <c r="I21" s="1">
        <v>8.02</v>
      </c>
      <c r="J21" s="1">
        <v>77.5</v>
      </c>
    </row>
    <row r="22" spans="1:10" ht="15.5" x14ac:dyDescent="0.35">
      <c r="A22" s="1">
        <v>20</v>
      </c>
      <c r="B22" s="1" t="s">
        <v>21</v>
      </c>
      <c r="C22" s="5">
        <v>2702616</v>
      </c>
      <c r="D22" s="6">
        <v>52703</v>
      </c>
      <c r="E22" s="7">
        <v>4.8600000000000003</v>
      </c>
      <c r="F22" s="1">
        <v>39</v>
      </c>
      <c r="G22" s="7">
        <v>1.71</v>
      </c>
      <c r="H22" s="7">
        <v>191.63</v>
      </c>
      <c r="I22" s="1">
        <v>7.78</v>
      </c>
      <c r="J22" s="1">
        <v>70.44</v>
      </c>
    </row>
    <row r="23" spans="1:10" ht="15.5" x14ac:dyDescent="0.35">
      <c r="A23" s="1">
        <v>21</v>
      </c>
      <c r="B23" s="1" t="s">
        <v>22</v>
      </c>
      <c r="C23" s="5">
        <v>3261616</v>
      </c>
      <c r="D23" s="6">
        <v>79320</v>
      </c>
      <c r="E23" s="7">
        <v>4.01</v>
      </c>
      <c r="F23" s="1">
        <v>18</v>
      </c>
      <c r="G23" s="7">
        <v>1.03</v>
      </c>
      <c r="H23" s="7">
        <v>185.97</v>
      </c>
      <c r="I23" s="1">
        <v>8.81</v>
      </c>
      <c r="J23" s="1">
        <v>68.709999999999994</v>
      </c>
    </row>
    <row r="24" spans="1:10" ht="15.5" x14ac:dyDescent="0.35">
      <c r="A24" s="1">
        <v>22</v>
      </c>
      <c r="B24" s="1" t="s">
        <v>23</v>
      </c>
      <c r="C24" s="5">
        <v>3282812.21</v>
      </c>
      <c r="D24" s="6">
        <v>67117</v>
      </c>
      <c r="E24" s="7">
        <v>4.2</v>
      </c>
      <c r="F24" s="1">
        <v>115</v>
      </c>
      <c r="G24" s="7">
        <v>1.95</v>
      </c>
      <c r="H24" s="7">
        <v>248.33</v>
      </c>
      <c r="I24" s="1">
        <v>8.6199999999999992</v>
      </c>
      <c r="J24" s="1">
        <v>70.22</v>
      </c>
    </row>
    <row r="25" spans="1:10" ht="15.5" x14ac:dyDescent="0.35">
      <c r="A25" s="1">
        <v>23</v>
      </c>
      <c r="B25" s="1" t="s">
        <v>24</v>
      </c>
      <c r="C25" s="5">
        <v>3360858</v>
      </c>
      <c r="D25" s="6">
        <v>212175</v>
      </c>
      <c r="E25" s="7">
        <v>5.14</v>
      </c>
      <c r="F25" s="1">
        <v>32</v>
      </c>
      <c r="G25" s="7">
        <v>1.47</v>
      </c>
      <c r="H25" s="7">
        <v>300.52999999999997</v>
      </c>
      <c r="I25" s="1">
        <v>10.02</v>
      </c>
      <c r="J25" s="1">
        <v>67.069999999999993</v>
      </c>
    </row>
    <row r="26" spans="1:10" ht="15.5" x14ac:dyDescent="0.35">
      <c r="A26" s="1">
        <v>24</v>
      </c>
      <c r="B26" s="1" t="s">
        <v>25</v>
      </c>
      <c r="C26" s="5">
        <v>3361653</v>
      </c>
      <c r="D26" s="6">
        <v>198429</v>
      </c>
      <c r="E26" s="7">
        <v>3.9</v>
      </c>
      <c r="F26" s="1">
        <v>11</v>
      </c>
      <c r="G26" s="7">
        <v>1.29</v>
      </c>
      <c r="H26" s="7">
        <v>287.81</v>
      </c>
      <c r="I26" s="1">
        <v>9.35</v>
      </c>
      <c r="J26" s="1">
        <v>70.349999999999994</v>
      </c>
    </row>
    <row r="27" spans="1:10" ht="15.5" x14ac:dyDescent="0.35">
      <c r="A27" s="1">
        <v>25</v>
      </c>
      <c r="B27" s="1" t="s">
        <v>26</v>
      </c>
      <c r="C27" s="5">
        <v>3545000</v>
      </c>
      <c r="D27" s="6">
        <v>69352</v>
      </c>
      <c r="E27" s="7">
        <v>5.85</v>
      </c>
      <c r="F27" s="1">
        <v>186</v>
      </c>
      <c r="G27" s="7">
        <v>0.44</v>
      </c>
      <c r="H27" s="7">
        <v>209.34</v>
      </c>
      <c r="I27" s="1">
        <v>9.84</v>
      </c>
      <c r="J27" s="1">
        <v>66.069999999999993</v>
      </c>
    </row>
    <row r="28" spans="1:10" ht="15.5" x14ac:dyDescent="0.35">
      <c r="A28" s="1">
        <v>26</v>
      </c>
      <c r="B28" s="1" t="s">
        <v>27</v>
      </c>
      <c r="C28" s="5">
        <v>2736698</v>
      </c>
      <c r="D28" s="6">
        <v>120750</v>
      </c>
      <c r="E28" s="7">
        <v>2.94</v>
      </c>
      <c r="F28" s="1">
        <v>51</v>
      </c>
      <c r="G28" s="7">
        <v>1.29</v>
      </c>
      <c r="H28" s="7">
        <v>321.87</v>
      </c>
      <c r="I28" s="1">
        <v>9.0399999999999991</v>
      </c>
      <c r="J28" s="1">
        <v>71.099999999999994</v>
      </c>
    </row>
    <row r="29" spans="1:10" ht="15.5" x14ac:dyDescent="0.35">
      <c r="A29" s="1">
        <v>27</v>
      </c>
      <c r="B29" s="1" t="s">
        <v>28</v>
      </c>
      <c r="C29" s="5">
        <v>3434298</v>
      </c>
      <c r="D29" s="6">
        <v>73573</v>
      </c>
      <c r="E29" s="7">
        <v>4.1900000000000004</v>
      </c>
      <c r="F29" s="1">
        <v>209</v>
      </c>
      <c r="G29" s="7">
        <v>1.23</v>
      </c>
      <c r="H29" s="7">
        <v>300.25</v>
      </c>
      <c r="I29" s="1">
        <v>8.86</v>
      </c>
      <c r="J29" s="1">
        <v>67.38</v>
      </c>
    </row>
    <row r="30" spans="1:10" ht="15.5" x14ac:dyDescent="0.35">
      <c r="A30" s="1">
        <v>28</v>
      </c>
      <c r="B30" s="1" t="s">
        <v>29</v>
      </c>
      <c r="C30" s="5">
        <v>2885964.04</v>
      </c>
      <c r="D30" s="6">
        <v>67840</v>
      </c>
      <c r="E30" s="7">
        <v>3.09</v>
      </c>
      <c r="F30" s="1">
        <v>77</v>
      </c>
      <c r="G30" s="7">
        <v>1.05</v>
      </c>
      <c r="H30" s="7">
        <v>336.55</v>
      </c>
      <c r="I30" s="1">
        <v>9.42</v>
      </c>
      <c r="J30" s="1">
        <v>72.81</v>
      </c>
    </row>
    <row r="31" spans="1:10" ht="15.5" x14ac:dyDescent="0.35">
      <c r="A31" s="1">
        <v>29</v>
      </c>
      <c r="B31" s="1" t="s">
        <v>30</v>
      </c>
      <c r="C31" s="5">
        <v>3025100</v>
      </c>
      <c r="D31" s="6">
        <v>44433</v>
      </c>
      <c r="E31" s="7">
        <v>3.13</v>
      </c>
      <c r="F31" s="1">
        <v>102</v>
      </c>
      <c r="G31" s="7">
        <v>-0.79</v>
      </c>
      <c r="H31" s="7">
        <v>841.11</v>
      </c>
      <c r="I31" s="1">
        <v>8.2899999999999991</v>
      </c>
      <c r="J31" s="1">
        <v>69.95</v>
      </c>
    </row>
    <row r="32" spans="1:10" ht="15.5" x14ac:dyDescent="0.35">
      <c r="A32" s="1">
        <v>30</v>
      </c>
      <c r="B32" s="1" t="s">
        <v>31</v>
      </c>
      <c r="C32" s="5">
        <v>2914958.08</v>
      </c>
      <c r="D32" s="6">
        <v>42718</v>
      </c>
      <c r="E32" s="7">
        <v>2.68</v>
      </c>
      <c r="F32" s="1">
        <v>91</v>
      </c>
      <c r="G32" s="7">
        <v>1.49</v>
      </c>
      <c r="H32" s="7">
        <v>452.42</v>
      </c>
      <c r="I32" s="1">
        <v>8.15</v>
      </c>
      <c r="J32" s="1">
        <v>71.400000000000006</v>
      </c>
    </row>
    <row r="33" spans="1:10" ht="15.5" x14ac:dyDescent="0.35">
      <c r="A33" s="1">
        <v>31</v>
      </c>
      <c r="B33" s="1" t="s">
        <v>32</v>
      </c>
      <c r="C33" s="5">
        <v>2949953</v>
      </c>
      <c r="D33" s="6">
        <v>32198</v>
      </c>
      <c r="E33" s="7">
        <v>6.11</v>
      </c>
      <c r="F33" s="1">
        <v>42</v>
      </c>
      <c r="G33" s="7">
        <v>1.28</v>
      </c>
      <c r="H33" s="7">
        <v>304.75</v>
      </c>
      <c r="I33" s="1">
        <v>10.26</v>
      </c>
      <c r="J33" s="1">
        <v>66.52</v>
      </c>
    </row>
    <row r="34" spans="1:10" ht="15.5" x14ac:dyDescent="0.35">
      <c r="A34" s="1">
        <v>32</v>
      </c>
      <c r="B34" s="1" t="s">
        <v>33</v>
      </c>
      <c r="C34" s="5">
        <v>3200000</v>
      </c>
      <c r="D34" s="6">
        <v>70660</v>
      </c>
      <c r="E34" s="7">
        <v>4.03</v>
      </c>
      <c r="F34" s="1">
        <v>41</v>
      </c>
      <c r="G34" s="7">
        <v>1.5</v>
      </c>
      <c r="H34" s="7">
        <v>361.75</v>
      </c>
      <c r="I34" s="1">
        <v>9.3699999999999992</v>
      </c>
      <c r="J34" s="1">
        <v>69.13</v>
      </c>
    </row>
    <row r="35" spans="1:10" ht="15.5" x14ac:dyDescent="0.35">
      <c r="A35" s="1">
        <v>33</v>
      </c>
      <c r="B35" s="1" t="s">
        <v>34</v>
      </c>
      <c r="C35" s="5">
        <v>3393500</v>
      </c>
      <c r="D35" s="6">
        <v>131636</v>
      </c>
      <c r="E35" s="7">
        <v>4.13</v>
      </c>
      <c r="F35" s="1">
        <v>10</v>
      </c>
      <c r="G35" s="7">
        <v>2.5299999999999998</v>
      </c>
      <c r="H35" s="7">
        <v>318.13</v>
      </c>
      <c r="I35" s="1">
        <v>7.86</v>
      </c>
      <c r="J35" s="1">
        <v>71.25</v>
      </c>
    </row>
    <row r="36" spans="1:10" ht="15.5" x14ac:dyDescent="0.35">
      <c r="A36" s="1">
        <v>34</v>
      </c>
      <c r="B36" s="1" t="s">
        <v>37</v>
      </c>
      <c r="C36" s="5">
        <v>3393500</v>
      </c>
      <c r="D36" s="6">
        <v>59064</v>
      </c>
      <c r="E36" s="7">
        <v>6.48</v>
      </c>
      <c r="F36" s="1">
        <v>16</v>
      </c>
      <c r="G36" s="7">
        <v>1.87</v>
      </c>
      <c r="H36" s="7">
        <v>0</v>
      </c>
      <c r="I36" s="1">
        <v>8.39</v>
      </c>
      <c r="J36" s="1">
        <v>67.81</v>
      </c>
    </row>
    <row r="37" spans="1:10" ht="15.5" x14ac:dyDescent="0.35">
      <c r="A37" s="1">
        <v>35</v>
      </c>
      <c r="B37" s="1" t="s">
        <v>35</v>
      </c>
      <c r="C37" s="5">
        <v>4024270</v>
      </c>
      <c r="D37" s="6">
        <v>81009</v>
      </c>
      <c r="E37" s="7">
        <v>6.48</v>
      </c>
      <c r="F37" s="1">
        <v>13</v>
      </c>
      <c r="G37" s="7">
        <v>1.75</v>
      </c>
      <c r="H37" s="7">
        <v>276.05</v>
      </c>
      <c r="I37" s="1">
        <v>9.82</v>
      </c>
      <c r="J37" s="1">
        <v>68.400000000000006</v>
      </c>
    </row>
    <row r="38" spans="1:10" ht="15.5" x14ac:dyDescent="0.35">
      <c r="A38" s="1">
        <v>36</v>
      </c>
      <c r="B38" s="1" t="s">
        <v>36</v>
      </c>
      <c r="C38" s="5">
        <v>4024270</v>
      </c>
      <c r="D38" s="6">
        <v>61583</v>
      </c>
      <c r="E38" s="7">
        <v>4.05</v>
      </c>
      <c r="F38" s="1">
        <v>5</v>
      </c>
      <c r="G38" s="7">
        <v>1.78</v>
      </c>
      <c r="H38" s="7">
        <v>0</v>
      </c>
      <c r="I38" s="1">
        <v>8.3800000000000008</v>
      </c>
      <c r="J38" s="1">
        <v>71.67</v>
      </c>
    </row>
    <row r="39" spans="1:10" ht="15.5" x14ac:dyDescent="0.35">
      <c r="A39" s="1">
        <v>37</v>
      </c>
      <c r="B39" s="1" t="s">
        <v>38</v>
      </c>
      <c r="C39" s="5">
        <v>4024270</v>
      </c>
      <c r="D39" s="6">
        <v>118774</v>
      </c>
      <c r="E39" s="7">
        <v>2.75</v>
      </c>
      <c r="F39" s="1">
        <v>24</v>
      </c>
      <c r="G39" s="7">
        <v>3.27</v>
      </c>
      <c r="H39" s="7">
        <v>0</v>
      </c>
      <c r="I39" s="1">
        <v>6.12</v>
      </c>
      <c r="J39" s="1">
        <v>73.13</v>
      </c>
    </row>
    <row r="40" spans="1:10" ht="15.5" x14ac:dyDescent="0.35">
      <c r="A40" s="1">
        <v>38</v>
      </c>
      <c r="B40" s="1" t="s">
        <v>39</v>
      </c>
      <c r="C40" s="5">
        <v>4024270</v>
      </c>
      <c r="D40" s="6">
        <v>18105</v>
      </c>
      <c r="E40" s="7">
        <v>1.32</v>
      </c>
      <c r="F40" s="1">
        <v>29</v>
      </c>
      <c r="G40" s="7">
        <v>5.36</v>
      </c>
      <c r="H40" s="7">
        <v>0</v>
      </c>
      <c r="I40" s="1">
        <v>4.21</v>
      </c>
      <c r="J40" s="1">
        <v>88.22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DDD11-0530-4AFF-9D6A-999599E5FB14}">
  <dimension ref="A1:L40"/>
  <sheetViews>
    <sheetView zoomScale="70" workbookViewId="0">
      <selection activeCell="M11" sqref="M11"/>
    </sheetView>
  </sheetViews>
  <sheetFormatPr defaultRowHeight="14.5" x14ac:dyDescent="0.35"/>
  <cols>
    <col min="2" max="2" width="18.54296875" bestFit="1" customWidth="1"/>
    <col min="3" max="3" width="11.7265625" bestFit="1" customWidth="1"/>
    <col min="12" max="12" width="11.7265625" bestFit="1" customWidth="1"/>
  </cols>
  <sheetData>
    <row r="1" spans="1:12" x14ac:dyDescent="0.35">
      <c r="C1" s="9" t="s">
        <v>48</v>
      </c>
      <c r="D1" s="9" t="s">
        <v>49</v>
      </c>
      <c r="E1" s="9" t="s">
        <v>50</v>
      </c>
      <c r="F1" s="9" t="s">
        <v>51</v>
      </c>
      <c r="G1" s="9" t="s">
        <v>52</v>
      </c>
      <c r="H1" s="9" t="s">
        <v>53</v>
      </c>
      <c r="J1" s="14" t="s">
        <v>54</v>
      </c>
      <c r="K1" s="15"/>
      <c r="L1" s="16"/>
    </row>
    <row r="2" spans="1:12" ht="15.5" x14ac:dyDescent="0.35">
      <c r="A2" s="3" t="s">
        <v>0</v>
      </c>
      <c r="B2" s="3" t="s">
        <v>1</v>
      </c>
      <c r="C2" s="3" t="s">
        <v>45</v>
      </c>
      <c r="D2" s="2" t="s">
        <v>41</v>
      </c>
      <c r="E2" s="2" t="s">
        <v>46</v>
      </c>
      <c r="F2" s="3" t="s">
        <v>47</v>
      </c>
      <c r="G2" s="8" t="s">
        <v>43</v>
      </c>
      <c r="H2" s="8" t="s">
        <v>44</v>
      </c>
      <c r="J2" s="13" t="s">
        <v>45</v>
      </c>
      <c r="K2" s="10" t="s">
        <v>55</v>
      </c>
      <c r="L2" s="11">
        <f>AVERAGE(C3:C40)</f>
        <v>3113359.8492105268</v>
      </c>
    </row>
    <row r="3" spans="1:12" ht="15.5" x14ac:dyDescent="0.35">
      <c r="A3" s="1">
        <v>1</v>
      </c>
      <c r="B3" s="1" t="s">
        <v>2</v>
      </c>
      <c r="C3" s="5">
        <v>3460672</v>
      </c>
      <c r="D3" s="6">
        <v>43782</v>
      </c>
      <c r="E3" s="1">
        <v>98</v>
      </c>
      <c r="F3" s="7">
        <v>210.47</v>
      </c>
      <c r="G3" s="1">
        <v>9.64</v>
      </c>
      <c r="H3" s="1">
        <v>65.11</v>
      </c>
      <c r="J3" s="13"/>
      <c r="K3" s="10" t="s">
        <v>56</v>
      </c>
      <c r="L3" s="11">
        <f>MEDIAN(C3:C40)</f>
        <v>3118560.9249999998</v>
      </c>
    </row>
    <row r="4" spans="1:12" ht="15.5" x14ac:dyDescent="0.35">
      <c r="A4" s="1">
        <v>2</v>
      </c>
      <c r="B4" s="1" t="s">
        <v>3</v>
      </c>
      <c r="C4" s="5">
        <v>2809915</v>
      </c>
      <c r="D4" s="6">
        <v>73575</v>
      </c>
      <c r="E4" s="1">
        <v>215</v>
      </c>
      <c r="F4" s="7">
        <v>167.02</v>
      </c>
      <c r="G4" s="1">
        <v>9.93</v>
      </c>
      <c r="H4" s="1">
        <v>71.36</v>
      </c>
      <c r="J4" s="13"/>
      <c r="K4" s="10" t="s">
        <v>57</v>
      </c>
      <c r="L4" s="11">
        <f>MAX(C3:C40)</f>
        <v>5067381</v>
      </c>
    </row>
    <row r="5" spans="1:12" ht="15.5" x14ac:dyDescent="0.35">
      <c r="A5" s="1">
        <v>3</v>
      </c>
      <c r="B5" s="1" t="s">
        <v>4</v>
      </c>
      <c r="C5" s="5">
        <v>2811449.27</v>
      </c>
      <c r="D5" s="6">
        <v>57047</v>
      </c>
      <c r="E5" s="1">
        <v>139</v>
      </c>
      <c r="F5" s="7">
        <v>130.6</v>
      </c>
      <c r="G5" s="1">
        <v>9.44</v>
      </c>
      <c r="H5" s="1">
        <v>70.28</v>
      </c>
      <c r="J5" s="13"/>
      <c r="K5" s="10" t="s">
        <v>58</v>
      </c>
      <c r="L5" s="11">
        <f>MIN(C3:C40)</f>
        <v>2036947</v>
      </c>
    </row>
    <row r="6" spans="1:12" ht="15.5" x14ac:dyDescent="0.35">
      <c r="A6" s="1">
        <v>4</v>
      </c>
      <c r="B6" s="1" t="s">
        <v>5</v>
      </c>
      <c r="C6" s="5">
        <v>3294625.56</v>
      </c>
      <c r="D6" s="6">
        <v>165350</v>
      </c>
      <c r="E6" s="1">
        <v>75</v>
      </c>
      <c r="F6" s="7">
        <v>113.82</v>
      </c>
      <c r="G6" s="1">
        <v>9.43</v>
      </c>
      <c r="H6" s="1">
        <v>66.33</v>
      </c>
      <c r="J6" s="13"/>
      <c r="K6" s="10" t="s">
        <v>59</v>
      </c>
      <c r="L6" s="10">
        <f>STDEV(C3:C40)</f>
        <v>641781.7330679365</v>
      </c>
    </row>
    <row r="7" spans="1:12" ht="15.5" x14ac:dyDescent="0.35">
      <c r="A7" s="1">
        <v>5</v>
      </c>
      <c r="B7" s="1" t="s">
        <v>6</v>
      </c>
      <c r="C7" s="5">
        <v>3037121.85</v>
      </c>
      <c r="D7" s="6">
        <v>86722</v>
      </c>
      <c r="E7" s="1">
        <v>76</v>
      </c>
      <c r="F7" s="7">
        <v>163</v>
      </c>
      <c r="G7" s="1">
        <v>8.9</v>
      </c>
      <c r="H7" s="1">
        <v>68.87</v>
      </c>
      <c r="J7" s="13" t="s">
        <v>41</v>
      </c>
      <c r="K7" s="10" t="s">
        <v>55</v>
      </c>
      <c r="L7" s="12">
        <f>AVERAGE(D3:D40)</f>
        <v>84343.736842105267</v>
      </c>
    </row>
    <row r="8" spans="1:12" ht="15.5" x14ac:dyDescent="0.35">
      <c r="A8" s="1">
        <v>6</v>
      </c>
      <c r="B8" s="1" t="s">
        <v>7</v>
      </c>
      <c r="C8" s="5">
        <v>3456874</v>
      </c>
      <c r="D8" s="6">
        <v>75132</v>
      </c>
      <c r="E8" s="1">
        <v>102</v>
      </c>
      <c r="F8" s="7">
        <v>183.35</v>
      </c>
      <c r="G8" s="1">
        <v>8.57</v>
      </c>
      <c r="H8" s="1">
        <v>70.819999999999993</v>
      </c>
      <c r="J8" s="13"/>
      <c r="K8" s="10" t="s">
        <v>56</v>
      </c>
      <c r="L8" s="12">
        <f>MEDIAN(D3:D40)</f>
        <v>68596</v>
      </c>
    </row>
    <row r="9" spans="1:12" ht="15.5" x14ac:dyDescent="0.35">
      <c r="A9" s="1">
        <v>7</v>
      </c>
      <c r="B9" s="1" t="s">
        <v>8</v>
      </c>
      <c r="C9" s="5">
        <v>2507079.2400000002</v>
      </c>
      <c r="D9" s="6">
        <v>49233</v>
      </c>
      <c r="E9" s="1">
        <v>105</v>
      </c>
      <c r="F9" s="7">
        <v>197.12</v>
      </c>
      <c r="G9" s="1">
        <v>9.0399999999999991</v>
      </c>
      <c r="H9" s="1">
        <v>71.709999999999994</v>
      </c>
      <c r="J9" s="13"/>
      <c r="K9" s="10" t="s">
        <v>57</v>
      </c>
      <c r="L9" s="12">
        <f>MAX(D3:D40)</f>
        <v>344350</v>
      </c>
    </row>
    <row r="10" spans="1:12" ht="15.5" x14ac:dyDescent="0.35">
      <c r="A10" s="1">
        <v>8</v>
      </c>
      <c r="B10" s="1" t="s">
        <v>9</v>
      </c>
      <c r="C10" s="5">
        <v>2716497</v>
      </c>
      <c r="D10" s="6">
        <v>51370</v>
      </c>
      <c r="E10" s="1">
        <v>281</v>
      </c>
      <c r="F10" s="7">
        <v>193.39</v>
      </c>
      <c r="G10" s="1">
        <v>8.36</v>
      </c>
      <c r="H10" s="1">
        <v>70.41</v>
      </c>
      <c r="J10" s="13"/>
      <c r="K10" s="10" t="s">
        <v>58</v>
      </c>
      <c r="L10" s="12">
        <f>MIN(D3:D40)</f>
        <v>18105</v>
      </c>
    </row>
    <row r="11" spans="1:12" ht="15.5" x14ac:dyDescent="0.35">
      <c r="A11" s="1">
        <v>9</v>
      </c>
      <c r="B11" s="1" t="s">
        <v>10</v>
      </c>
      <c r="C11" s="5">
        <v>3640000</v>
      </c>
      <c r="D11" s="6">
        <v>70194</v>
      </c>
      <c r="E11" s="1">
        <v>92</v>
      </c>
      <c r="F11" s="7">
        <v>132.41</v>
      </c>
      <c r="G11" s="1">
        <v>8.33</v>
      </c>
      <c r="H11" s="1">
        <v>68.87</v>
      </c>
      <c r="J11" s="13"/>
      <c r="K11" s="10" t="s">
        <v>59</v>
      </c>
      <c r="L11" s="10">
        <f>STDEV(D3:D40)</f>
        <v>62197.160318286282</v>
      </c>
    </row>
    <row r="12" spans="1:12" ht="15.5" x14ac:dyDescent="0.35">
      <c r="A12" s="1">
        <v>10</v>
      </c>
      <c r="B12" s="1" t="s">
        <v>11</v>
      </c>
      <c r="C12" s="5">
        <v>3402492</v>
      </c>
      <c r="D12" s="6">
        <v>161424</v>
      </c>
      <c r="E12" s="1">
        <v>264</v>
      </c>
      <c r="F12" s="7">
        <v>246.14</v>
      </c>
      <c r="G12" s="1">
        <v>10.5</v>
      </c>
      <c r="H12" s="1">
        <v>69.17</v>
      </c>
      <c r="J12" s="13" t="s">
        <v>46</v>
      </c>
      <c r="K12" s="10" t="s">
        <v>55</v>
      </c>
      <c r="L12" s="11">
        <f>AVERAGE(E3:E40)</f>
        <v>678.23684210526312</v>
      </c>
    </row>
    <row r="13" spans="1:12" ht="15.5" x14ac:dyDescent="0.35">
      <c r="A13" s="1">
        <v>11</v>
      </c>
      <c r="B13" s="1" t="s">
        <v>12</v>
      </c>
      <c r="C13" s="5">
        <v>5067381</v>
      </c>
      <c r="D13" s="6">
        <v>344350</v>
      </c>
      <c r="E13" s="1">
        <v>16165</v>
      </c>
      <c r="F13" s="7">
        <v>219.54</v>
      </c>
      <c r="G13" s="1">
        <v>11.49</v>
      </c>
      <c r="H13" s="1">
        <v>65.099999999999994</v>
      </c>
      <c r="J13" s="13"/>
      <c r="K13" s="10" t="s">
        <v>56</v>
      </c>
      <c r="L13" s="11">
        <f>MEDIAN(E3:E40)</f>
        <v>100</v>
      </c>
    </row>
    <row r="14" spans="1:12" ht="15.5" x14ac:dyDescent="0.35">
      <c r="A14" s="1">
        <v>12</v>
      </c>
      <c r="B14" s="1" t="s">
        <v>13</v>
      </c>
      <c r="C14" s="5">
        <v>2057495</v>
      </c>
      <c r="D14" s="6">
        <v>56080</v>
      </c>
      <c r="E14" s="1">
        <v>1359</v>
      </c>
      <c r="F14" s="7">
        <v>125.09</v>
      </c>
      <c r="G14" s="1">
        <v>8.8699999999999992</v>
      </c>
      <c r="H14" s="1">
        <v>67.709999999999994</v>
      </c>
      <c r="J14" s="13"/>
      <c r="K14" s="10" t="s">
        <v>57</v>
      </c>
      <c r="L14" s="11">
        <f>MAX(E3:E40)</f>
        <v>16165</v>
      </c>
    </row>
    <row r="15" spans="1:12" ht="15.5" x14ac:dyDescent="0.35">
      <c r="A15" s="1">
        <v>13</v>
      </c>
      <c r="B15" s="1" t="s">
        <v>14</v>
      </c>
      <c r="C15" s="5">
        <v>2036947</v>
      </c>
      <c r="D15" s="6">
        <v>47972</v>
      </c>
      <c r="E15" s="1">
        <v>1104</v>
      </c>
      <c r="F15" s="7">
        <v>115.91</v>
      </c>
      <c r="G15" s="1">
        <v>8.02</v>
      </c>
      <c r="H15" s="1">
        <v>73.739999999999995</v>
      </c>
      <c r="J15" s="13"/>
      <c r="K15" s="10" t="s">
        <v>58</v>
      </c>
      <c r="L15" s="11">
        <f>MIN(E3:E40)</f>
        <v>5</v>
      </c>
    </row>
    <row r="16" spans="1:12" ht="15.5" x14ac:dyDescent="0.35">
      <c r="A16" s="1">
        <v>14</v>
      </c>
      <c r="B16" s="1" t="s">
        <v>15</v>
      </c>
      <c r="C16" s="5">
        <v>2125897.61</v>
      </c>
      <c r="D16" s="6">
        <v>51473</v>
      </c>
      <c r="E16" s="1">
        <v>1186</v>
      </c>
      <c r="F16" s="7">
        <v>200.89</v>
      </c>
      <c r="G16" s="1">
        <v>9.92</v>
      </c>
      <c r="H16" s="1">
        <v>74.78</v>
      </c>
      <c r="J16" s="13"/>
      <c r="K16" s="10" t="s">
        <v>59</v>
      </c>
      <c r="L16" s="10">
        <f>STDEV(E3:E40)</f>
        <v>2609.4463680626131</v>
      </c>
    </row>
    <row r="17" spans="1:12" ht="15.5" x14ac:dyDescent="0.35">
      <c r="A17" s="1">
        <v>15</v>
      </c>
      <c r="B17" s="1" t="s">
        <v>16</v>
      </c>
      <c r="C17" s="5">
        <v>2165244.2999999998</v>
      </c>
      <c r="D17" s="6">
        <v>75770</v>
      </c>
      <c r="E17" s="1">
        <v>870</v>
      </c>
      <c r="F17" s="7">
        <v>204.52</v>
      </c>
      <c r="G17" s="1">
        <v>8.2799999999999994</v>
      </c>
      <c r="H17" s="1">
        <v>73.45</v>
      </c>
      <c r="J17" s="13" t="s">
        <v>47</v>
      </c>
      <c r="K17" s="10" t="s">
        <v>55</v>
      </c>
      <c r="L17" s="12">
        <f>AVERAGE(F3:F40)</f>
        <v>222.13842105263157</v>
      </c>
    </row>
    <row r="18" spans="1:12" ht="15.5" x14ac:dyDescent="0.35">
      <c r="A18" s="1">
        <v>16</v>
      </c>
      <c r="B18" s="1" t="s">
        <v>17</v>
      </c>
      <c r="C18" s="5">
        <v>2727812.11</v>
      </c>
      <c r="D18" s="6">
        <v>70276</v>
      </c>
      <c r="E18" s="1">
        <v>1329</v>
      </c>
      <c r="F18" s="7">
        <v>138.6</v>
      </c>
      <c r="G18" s="1">
        <v>9.23</v>
      </c>
      <c r="H18" s="1">
        <v>66.17</v>
      </c>
      <c r="J18" s="13"/>
      <c r="K18" s="10" t="s">
        <v>56</v>
      </c>
      <c r="L18" s="12">
        <f>MEDIAN(F3:F40)</f>
        <v>202.70499999999998</v>
      </c>
    </row>
    <row r="19" spans="1:12" ht="15.5" x14ac:dyDescent="0.35">
      <c r="A19" s="1">
        <v>17</v>
      </c>
      <c r="B19" s="1" t="s">
        <v>18</v>
      </c>
      <c r="C19" s="5">
        <v>2813672</v>
      </c>
      <c r="D19" s="6">
        <v>67319</v>
      </c>
      <c r="E19" s="1">
        <v>793</v>
      </c>
      <c r="F19" s="7">
        <v>222.99</v>
      </c>
      <c r="G19" s="1">
        <v>9.5399999999999991</v>
      </c>
      <c r="H19" s="1">
        <v>77.11</v>
      </c>
      <c r="J19" s="13"/>
      <c r="K19" s="10" t="s">
        <v>57</v>
      </c>
      <c r="L19" s="12">
        <f>MAX(F3:F40)</f>
        <v>841.11</v>
      </c>
    </row>
    <row r="20" spans="1:12" ht="15.5" x14ac:dyDescent="0.35">
      <c r="A20" s="1">
        <v>18</v>
      </c>
      <c r="B20" s="1" t="s">
        <v>19</v>
      </c>
      <c r="C20" s="5">
        <v>2444067</v>
      </c>
      <c r="D20" s="6">
        <v>32282</v>
      </c>
      <c r="E20" s="1">
        <v>287</v>
      </c>
      <c r="F20" s="7">
        <v>141.05000000000001</v>
      </c>
      <c r="G20" s="1">
        <v>7.87</v>
      </c>
      <c r="H20" s="1">
        <v>77.23</v>
      </c>
      <c r="J20" s="13"/>
      <c r="K20" s="10" t="s">
        <v>58</v>
      </c>
      <c r="L20" s="12">
        <f>MIN(F3:F40)</f>
        <v>0</v>
      </c>
    </row>
    <row r="21" spans="1:12" ht="15.5" x14ac:dyDescent="0.35">
      <c r="A21" s="1">
        <v>19</v>
      </c>
      <c r="B21" s="1" t="s">
        <v>20</v>
      </c>
      <c r="C21" s="5">
        <v>2186826</v>
      </c>
      <c r="D21" s="6">
        <v>24272</v>
      </c>
      <c r="E21" s="1">
        <v>122</v>
      </c>
      <c r="F21" s="7">
        <v>398.86</v>
      </c>
      <c r="G21" s="1">
        <v>8.02</v>
      </c>
      <c r="H21" s="1">
        <v>77.5</v>
      </c>
      <c r="J21" s="13"/>
      <c r="K21" s="10" t="s">
        <v>59</v>
      </c>
      <c r="L21" s="10">
        <f>STDEV(F3:F40)</f>
        <v>148.80455610080782</v>
      </c>
    </row>
    <row r="22" spans="1:12" ht="15.5" x14ac:dyDescent="0.35">
      <c r="A22" s="1">
        <v>20</v>
      </c>
      <c r="B22" s="1" t="s">
        <v>21</v>
      </c>
      <c r="C22" s="5">
        <v>2702616</v>
      </c>
      <c r="D22" s="6">
        <v>52703</v>
      </c>
      <c r="E22" s="1">
        <v>39</v>
      </c>
      <c r="F22" s="7">
        <v>191.63</v>
      </c>
      <c r="G22" s="1">
        <v>7.78</v>
      </c>
      <c r="H22" s="1">
        <v>70.44</v>
      </c>
      <c r="J22" s="13" t="s">
        <v>43</v>
      </c>
      <c r="K22" s="10" t="s">
        <v>55</v>
      </c>
      <c r="L22" s="11">
        <f>AVERAGE(G3:G40)</f>
        <v>8.8413157894736827</v>
      </c>
    </row>
    <row r="23" spans="1:12" ht="15.5" x14ac:dyDescent="0.35">
      <c r="A23" s="1">
        <v>21</v>
      </c>
      <c r="B23" s="1" t="s">
        <v>22</v>
      </c>
      <c r="C23" s="5">
        <v>3261616</v>
      </c>
      <c r="D23" s="6">
        <v>79320</v>
      </c>
      <c r="E23" s="1">
        <v>18</v>
      </c>
      <c r="F23" s="7">
        <v>185.97</v>
      </c>
      <c r="G23" s="1">
        <v>8.81</v>
      </c>
      <c r="H23" s="1">
        <v>68.709999999999994</v>
      </c>
      <c r="J23" s="13"/>
      <c r="K23" s="10" t="s">
        <v>56</v>
      </c>
      <c r="L23" s="11">
        <f>MEDIAN(G3:G40)</f>
        <v>8.8849999999999998</v>
      </c>
    </row>
    <row r="24" spans="1:12" ht="15.5" x14ac:dyDescent="0.35">
      <c r="A24" s="1">
        <v>22</v>
      </c>
      <c r="B24" s="1" t="s">
        <v>23</v>
      </c>
      <c r="C24" s="5">
        <v>3282812.21</v>
      </c>
      <c r="D24" s="6">
        <v>67117</v>
      </c>
      <c r="E24" s="1">
        <v>115</v>
      </c>
      <c r="F24" s="7">
        <v>248.33</v>
      </c>
      <c r="G24" s="1">
        <v>8.6199999999999992</v>
      </c>
      <c r="H24" s="1">
        <v>70.22</v>
      </c>
      <c r="J24" s="13"/>
      <c r="K24" s="10" t="s">
        <v>57</v>
      </c>
      <c r="L24" s="11">
        <f>MAX(G3:G40)</f>
        <v>11.49</v>
      </c>
    </row>
    <row r="25" spans="1:12" ht="15.5" x14ac:dyDescent="0.35">
      <c r="A25" s="1">
        <v>23</v>
      </c>
      <c r="B25" s="1" t="s">
        <v>24</v>
      </c>
      <c r="C25" s="5">
        <v>3360858</v>
      </c>
      <c r="D25" s="6">
        <v>212175</v>
      </c>
      <c r="E25" s="1">
        <v>32</v>
      </c>
      <c r="F25" s="7">
        <v>300.52999999999997</v>
      </c>
      <c r="G25" s="1">
        <v>10.02</v>
      </c>
      <c r="H25" s="1">
        <v>67.069999999999993</v>
      </c>
      <c r="J25" s="13"/>
      <c r="K25" s="10" t="s">
        <v>58</v>
      </c>
      <c r="L25" s="11">
        <f>MIN(G3:G40)</f>
        <v>4.21</v>
      </c>
    </row>
    <row r="26" spans="1:12" ht="15.5" x14ac:dyDescent="0.35">
      <c r="A26" s="1">
        <v>24</v>
      </c>
      <c r="B26" s="1" t="s">
        <v>25</v>
      </c>
      <c r="C26" s="5">
        <v>3361653</v>
      </c>
      <c r="D26" s="6">
        <v>198429</v>
      </c>
      <c r="E26" s="1">
        <v>11</v>
      </c>
      <c r="F26" s="7">
        <v>287.81</v>
      </c>
      <c r="G26" s="1">
        <v>9.35</v>
      </c>
      <c r="H26" s="1">
        <v>70.349999999999994</v>
      </c>
      <c r="J26" s="13"/>
      <c r="K26" s="10" t="s">
        <v>59</v>
      </c>
      <c r="L26" s="10">
        <f>STDEV(G3:G40)</f>
        <v>1.2278109966634854</v>
      </c>
    </row>
    <row r="27" spans="1:12" ht="15.5" x14ac:dyDescent="0.35">
      <c r="A27" s="1">
        <v>25</v>
      </c>
      <c r="B27" s="1" t="s">
        <v>26</v>
      </c>
      <c r="C27" s="5">
        <v>3545000</v>
      </c>
      <c r="D27" s="6">
        <v>69352</v>
      </c>
      <c r="E27" s="1">
        <v>186</v>
      </c>
      <c r="F27" s="7">
        <v>209.34</v>
      </c>
      <c r="G27" s="1">
        <v>9.84</v>
      </c>
      <c r="H27" s="1">
        <v>66.069999999999993</v>
      </c>
      <c r="J27" s="13" t="s">
        <v>44</v>
      </c>
      <c r="K27" s="10" t="s">
        <v>55</v>
      </c>
      <c r="L27" s="12">
        <f>AVERAGE(H3:H40)</f>
        <v>70.719736842105263</v>
      </c>
    </row>
    <row r="28" spans="1:12" ht="15.5" x14ac:dyDescent="0.35">
      <c r="A28" s="1">
        <v>26</v>
      </c>
      <c r="B28" s="1" t="s">
        <v>27</v>
      </c>
      <c r="C28" s="5">
        <v>2736698</v>
      </c>
      <c r="D28" s="6">
        <v>120750</v>
      </c>
      <c r="E28" s="1">
        <v>51</v>
      </c>
      <c r="F28" s="7">
        <v>321.87</v>
      </c>
      <c r="G28" s="1">
        <v>9.0399999999999991</v>
      </c>
      <c r="H28" s="1">
        <v>71.099999999999994</v>
      </c>
      <c r="J28" s="13"/>
      <c r="K28" s="10" t="s">
        <v>56</v>
      </c>
      <c r="L28" s="12">
        <f>MEDIAN(H3:H40)</f>
        <v>70.314999999999998</v>
      </c>
    </row>
    <row r="29" spans="1:12" ht="15.5" x14ac:dyDescent="0.35">
      <c r="A29" s="1">
        <v>27</v>
      </c>
      <c r="B29" s="1" t="s">
        <v>28</v>
      </c>
      <c r="C29" s="5">
        <v>3434298</v>
      </c>
      <c r="D29" s="6">
        <v>73573</v>
      </c>
      <c r="E29" s="1">
        <v>209</v>
      </c>
      <c r="F29" s="7">
        <v>300.25</v>
      </c>
      <c r="G29" s="1">
        <v>8.86</v>
      </c>
      <c r="H29" s="1">
        <v>67.38</v>
      </c>
      <c r="J29" s="13"/>
      <c r="K29" s="10" t="s">
        <v>57</v>
      </c>
      <c r="L29" s="12">
        <f>MAX(H3:H40)</f>
        <v>88.22</v>
      </c>
    </row>
    <row r="30" spans="1:12" ht="15.5" x14ac:dyDescent="0.35">
      <c r="A30" s="1">
        <v>28</v>
      </c>
      <c r="B30" s="1" t="s">
        <v>29</v>
      </c>
      <c r="C30" s="5">
        <v>2885964.04</v>
      </c>
      <c r="D30" s="6">
        <v>67840</v>
      </c>
      <c r="E30" s="1">
        <v>77</v>
      </c>
      <c r="F30" s="7">
        <v>336.55</v>
      </c>
      <c r="G30" s="1">
        <v>9.42</v>
      </c>
      <c r="H30" s="1">
        <v>72.81</v>
      </c>
      <c r="J30" s="13"/>
      <c r="K30" s="10" t="s">
        <v>58</v>
      </c>
      <c r="L30" s="12">
        <f>MIN(H3:H40)</f>
        <v>65.099999999999994</v>
      </c>
    </row>
    <row r="31" spans="1:12" ht="15.5" x14ac:dyDescent="0.35">
      <c r="A31" s="1">
        <v>29</v>
      </c>
      <c r="B31" s="1" t="s">
        <v>30</v>
      </c>
      <c r="C31" s="5">
        <v>3025100</v>
      </c>
      <c r="D31" s="6">
        <v>44433</v>
      </c>
      <c r="E31" s="1">
        <v>102</v>
      </c>
      <c r="F31" s="7">
        <v>841.11</v>
      </c>
      <c r="G31" s="1">
        <v>8.2899999999999991</v>
      </c>
      <c r="H31" s="1">
        <v>69.95</v>
      </c>
      <c r="J31" s="13"/>
      <c r="K31" s="10" t="s">
        <v>59</v>
      </c>
      <c r="L31" s="10">
        <f>STDEV(H3:H40)</f>
        <v>4.3143365572097236</v>
      </c>
    </row>
    <row r="32" spans="1:12" ht="15.5" x14ac:dyDescent="0.35">
      <c r="A32" s="1">
        <v>30</v>
      </c>
      <c r="B32" s="1" t="s">
        <v>31</v>
      </c>
      <c r="C32" s="5">
        <v>2914958.08</v>
      </c>
      <c r="D32" s="6">
        <v>42718</v>
      </c>
      <c r="E32" s="1">
        <v>91</v>
      </c>
      <c r="F32" s="7">
        <v>452.42</v>
      </c>
      <c r="G32" s="1">
        <v>8.15</v>
      </c>
      <c r="H32" s="1">
        <v>71.400000000000006</v>
      </c>
    </row>
    <row r="33" spans="1:8" ht="15.5" x14ac:dyDescent="0.35">
      <c r="A33" s="1">
        <v>31</v>
      </c>
      <c r="B33" s="1" t="s">
        <v>32</v>
      </c>
      <c r="C33" s="5">
        <v>2949953</v>
      </c>
      <c r="D33" s="6">
        <v>32198</v>
      </c>
      <c r="E33" s="1">
        <v>42</v>
      </c>
      <c r="F33" s="7">
        <v>304.75</v>
      </c>
      <c r="G33" s="1">
        <v>10.26</v>
      </c>
      <c r="H33" s="1">
        <v>66.52</v>
      </c>
    </row>
    <row r="34" spans="1:8" ht="15.5" x14ac:dyDescent="0.35">
      <c r="A34" s="1">
        <v>32</v>
      </c>
      <c r="B34" s="1" t="s">
        <v>33</v>
      </c>
      <c r="C34" s="5">
        <v>3200000</v>
      </c>
      <c r="D34" s="6">
        <v>70660</v>
      </c>
      <c r="E34" s="1">
        <v>41</v>
      </c>
      <c r="F34" s="7">
        <v>361.75</v>
      </c>
      <c r="G34" s="1">
        <v>9.3699999999999992</v>
      </c>
      <c r="H34" s="1">
        <v>69.13</v>
      </c>
    </row>
    <row r="35" spans="1:8" ht="15.5" x14ac:dyDescent="0.35">
      <c r="A35" s="1">
        <v>33</v>
      </c>
      <c r="B35" s="1" t="s">
        <v>34</v>
      </c>
      <c r="C35" s="5">
        <v>3393500</v>
      </c>
      <c r="D35" s="6">
        <v>131636</v>
      </c>
      <c r="E35" s="1">
        <v>10</v>
      </c>
      <c r="F35" s="7">
        <v>318.13</v>
      </c>
      <c r="G35" s="1">
        <v>7.86</v>
      </c>
      <c r="H35" s="1">
        <v>71.25</v>
      </c>
    </row>
    <row r="36" spans="1:8" ht="15.5" x14ac:dyDescent="0.35">
      <c r="A36" s="1">
        <v>34</v>
      </c>
      <c r="B36" s="1" t="s">
        <v>37</v>
      </c>
      <c r="C36" s="5">
        <v>3393500</v>
      </c>
      <c r="D36" s="6">
        <v>59064</v>
      </c>
      <c r="E36" s="1">
        <v>16</v>
      </c>
      <c r="F36" s="7">
        <v>0</v>
      </c>
      <c r="G36" s="1">
        <v>8.39</v>
      </c>
      <c r="H36" s="1">
        <v>67.81</v>
      </c>
    </row>
    <row r="37" spans="1:8" ht="15.5" x14ac:dyDescent="0.35">
      <c r="A37" s="1">
        <v>35</v>
      </c>
      <c r="B37" s="1" t="s">
        <v>35</v>
      </c>
      <c r="C37" s="5">
        <v>4024270</v>
      </c>
      <c r="D37" s="6">
        <v>81009</v>
      </c>
      <c r="E37" s="1">
        <v>13</v>
      </c>
      <c r="F37" s="7">
        <v>276.05</v>
      </c>
      <c r="G37" s="1">
        <v>9.82</v>
      </c>
      <c r="H37" s="1">
        <v>68.400000000000006</v>
      </c>
    </row>
    <row r="38" spans="1:8" ht="15.5" x14ac:dyDescent="0.35">
      <c r="A38" s="1">
        <v>36</v>
      </c>
      <c r="B38" s="1" t="s">
        <v>36</v>
      </c>
      <c r="C38" s="5">
        <v>4024270</v>
      </c>
      <c r="D38" s="6">
        <v>61583</v>
      </c>
      <c r="E38" s="1">
        <v>5</v>
      </c>
      <c r="F38" s="7">
        <v>0</v>
      </c>
      <c r="G38" s="1">
        <v>8.3800000000000008</v>
      </c>
      <c r="H38" s="1">
        <v>71.67</v>
      </c>
    </row>
    <row r="39" spans="1:8" ht="15.5" x14ac:dyDescent="0.35">
      <c r="A39" s="1">
        <v>37</v>
      </c>
      <c r="B39" s="1" t="s">
        <v>38</v>
      </c>
      <c r="C39" s="5">
        <v>4024270</v>
      </c>
      <c r="D39" s="6">
        <v>118774</v>
      </c>
      <c r="E39" s="1">
        <v>24</v>
      </c>
      <c r="F39" s="7">
        <v>0</v>
      </c>
      <c r="G39" s="1">
        <v>6.12</v>
      </c>
      <c r="H39" s="1">
        <v>73.13</v>
      </c>
    </row>
    <row r="40" spans="1:8" ht="15.5" x14ac:dyDescent="0.35">
      <c r="A40" s="1">
        <v>38</v>
      </c>
      <c r="B40" s="1" t="s">
        <v>39</v>
      </c>
      <c r="C40" s="5">
        <v>4024270</v>
      </c>
      <c r="D40" s="6">
        <v>18105</v>
      </c>
      <c r="E40" s="1">
        <v>29</v>
      </c>
      <c r="F40" s="7">
        <v>0</v>
      </c>
      <c r="G40" s="1">
        <v>4.21</v>
      </c>
      <c r="H40" s="1">
        <v>88.22</v>
      </c>
    </row>
  </sheetData>
  <mergeCells count="7">
    <mergeCell ref="J22:J26"/>
    <mergeCell ref="J27:J31"/>
    <mergeCell ref="J1:L1"/>
    <mergeCell ref="J2:J6"/>
    <mergeCell ref="J7:J11"/>
    <mergeCell ref="J12:J16"/>
    <mergeCell ref="J17:J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THN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EDLYN AISHA MAHARANI</dc:creator>
  <cp:lastModifiedBy>edlyn a maharani</cp:lastModifiedBy>
  <dcterms:created xsi:type="dcterms:W3CDTF">2026-02-16T10:36:42Z</dcterms:created>
  <dcterms:modified xsi:type="dcterms:W3CDTF">2026-06-26T06:41:49Z</dcterms:modified>
</cp:coreProperties>
</file>